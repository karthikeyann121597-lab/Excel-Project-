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codeName="ThisWorkbook" hidePivotFieldList="1" defaultThemeVersion="166925"/>
  <mc:AlternateContent xmlns:mc="http://schemas.openxmlformats.org/markup-compatibility/2006">
    <mc:Choice Requires="x15">
      <x15ac:absPath xmlns:x15ac="http://schemas.microsoft.com/office/spreadsheetml/2010/11/ac" url="D:\Cda Proj\"/>
    </mc:Choice>
  </mc:AlternateContent>
  <xr:revisionPtr revIDLastSave="0" documentId="13_ncr:1_{E556C40F-3667-4F4D-9803-9EE1746C18BF}" xr6:coauthVersionLast="40" xr6:coauthVersionMax="40" xr10:uidLastSave="{00000000-0000-0000-0000-000000000000}"/>
  <bookViews>
    <workbookView xWindow="0" yWindow="0" windowWidth="20490" windowHeight="7425" activeTab="6" xr2:uid="{CAF97A0B-C240-4748-8AD7-AE58A94086A0}"/>
  </bookViews>
  <sheets>
    <sheet name="Sheet1" sheetId="1" r:id="rId1"/>
    <sheet name="Sheet2" sheetId="2" r:id="rId2"/>
    <sheet name="Sheet3" sheetId="3" r:id="rId3"/>
    <sheet name="Sheet4" sheetId="4" r:id="rId4"/>
    <sheet name="Sheet5" sheetId="5" r:id="rId5"/>
    <sheet name="Sheet6" sheetId="6" r:id="rId6"/>
    <sheet name="Dashboard" sheetId="7" r:id="rId7"/>
  </sheets>
  <definedNames>
    <definedName name="NativeTimeline_Order_Date">#N/A</definedName>
    <definedName name="Slicer_City">#N/A</definedName>
    <definedName name="Slicer_Returned">#N/A</definedName>
  </definedNames>
  <calcPr calcId="181029"/>
  <pivotCaches>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<sst xmlns="http://schemas.openxmlformats.org/spreadsheetml/2006/main" count="561" uniqueCount="149">
  <si>
    <t>Customer_1</t>
  </si>
  <si>
    <t>Bengaluru</t>
  </si>
  <si>
    <t>Net Banking</t>
  </si>
  <si>
    <t>Toys</t>
  </si>
  <si>
    <t>No</t>
  </si>
  <si>
    <t>Customer_2</t>
  </si>
  <si>
    <t>Delhi</t>
  </si>
  <si>
    <t>Books</t>
  </si>
  <si>
    <t>Yes</t>
  </si>
  <si>
    <t>Customer_3</t>
  </si>
  <si>
    <t>Pune</t>
  </si>
  <si>
    <t>UPI</t>
  </si>
  <si>
    <t>Fashion</t>
  </si>
  <si>
    <t>Customer_4</t>
  </si>
  <si>
    <t>Mumbai</t>
  </si>
  <si>
    <t>Customer_5</t>
  </si>
  <si>
    <t>Cash</t>
  </si>
  <si>
    <t>Grocery</t>
  </si>
  <si>
    <t>Customer_6</t>
  </si>
  <si>
    <t>Customer_7</t>
  </si>
  <si>
    <t>Hyderabad</t>
  </si>
  <si>
    <t>Customer_8</t>
  </si>
  <si>
    <t>Home Decor</t>
  </si>
  <si>
    <t>Customer_9</t>
  </si>
  <si>
    <t>Customer_10</t>
  </si>
  <si>
    <t>Customer_11</t>
  </si>
  <si>
    <t>Customer_12</t>
  </si>
  <si>
    <t>Credit Card</t>
  </si>
  <si>
    <t>Customer_13</t>
  </si>
  <si>
    <t>Electronics</t>
  </si>
  <si>
    <t>Customer_14</t>
  </si>
  <si>
    <t>Customer_15</t>
  </si>
  <si>
    <t>Debit Card</t>
  </si>
  <si>
    <t>Customer_16</t>
  </si>
  <si>
    <t>Customer_17</t>
  </si>
  <si>
    <t>Customer_18</t>
  </si>
  <si>
    <t>Customer_19</t>
  </si>
  <si>
    <t>Customer_20</t>
  </si>
  <si>
    <t>Customer_21</t>
  </si>
  <si>
    <t>Customer_22</t>
  </si>
  <si>
    <t>Customer_23</t>
  </si>
  <si>
    <t>Chennai</t>
  </si>
  <si>
    <t>Customer_24</t>
  </si>
  <si>
    <t>Customer_25</t>
  </si>
  <si>
    <t>Customer_26</t>
  </si>
  <si>
    <t>Customer_27</t>
  </si>
  <si>
    <t>Kolkata</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</si>
  <si>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</si>
  <si>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</si>
  <si>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</si>
  <si>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</si>
  <si>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</si>
  <si>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</si>
  <si>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</si>
  <si>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</si>
  <si>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</si>
  <si>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</si>
  <si>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</si>
  <si>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</si>
  <si>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</si>
  <si>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</si>
  <si>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</si>
  <si>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</si>
  <si>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</si>
  <si>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</si>
  <si>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</si>
  <si>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</si>
  <si>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</si>
  <si>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</si>
  <si>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</si>
  <si>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</si>
  <si>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</si>
  <si>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</si>
  <si>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</si>
  <si>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</si>
  <si>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</si>
  <si>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</si>
  <si>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</si>
  <si>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</si>
  <si>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</si>
  <si>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</si>
  <si>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</si>
  <si>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</si>
  <si>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</si>
  <si>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</si>
  <si>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</si>
  <si>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</si>
  <si>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</si>
  <si>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</si>
  <si>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</si>
  <si>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</si>
  <si>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</si>
  <si>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</si>
  <si>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</si>
  <si>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</si>
  <si>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</si>
  <si>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</si>
  <si>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</si>
  <si>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</si>
  <si>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</si>
  <si>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</si>
  <si>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</si>
  <si>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</si>
  <si>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</si>
  <si>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</si>
  <si>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</si>
  <si>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</si>
  <si>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</si>
  <si>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</si>
  <si>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</si>
  <si>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</si>
  <si>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</si>
  <si>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</si>
  <si>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</si>
  <si>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</si>
  <si>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</si>
  <si>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</si>
  <si>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</si>
  <si>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</si>
  <si>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</si>
  <si>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Order No</t>
  </si>
  <si>
    <t>Customer Name</t>
  </si>
  <si>
    <t>City</t>
  </si>
  <si>
    <t>Payment Mode</t>
  </si>
  <si>
    <t>Category</t>
  </si>
  <si>
    <t>Amount</t>
  </si>
  <si>
    <t>Discount (%)</t>
  </si>
  <si>
    <t>Order Date</t>
  </si>
  <si>
    <t>Returned</t>
  </si>
  <si>
    <t>Row Labels</t>
  </si>
  <si>
    <t>Grand Total</t>
  </si>
  <si>
    <t>2024</t>
  </si>
  <si>
    <t>Qtr1</t>
  </si>
  <si>
    <t>Qtr2</t>
  </si>
  <si>
    <t>Qtr3</t>
  </si>
  <si>
    <t>Qtr4</t>
  </si>
  <si>
    <t>2025</t>
  </si>
  <si>
    <t>Sum of Amount</t>
  </si>
  <si>
    <t>Count of City</t>
  </si>
  <si>
    <t>Count of Years</t>
  </si>
  <si>
    <t>Count of Quarters</t>
  </si>
  <si>
    <t>Count of Order Date</t>
  </si>
  <si>
    <t>Values</t>
  </si>
  <si>
    <t>Count of Payment Mode</t>
  </si>
  <si>
    <t>Sum of Discount (%)</t>
  </si>
  <si>
    <t>Sum of Order No</t>
  </si>
  <si>
    <t>DISCOUNT BY CATEGORY</t>
  </si>
  <si>
    <t xml:space="preserve">Sample Data </t>
  </si>
  <si>
    <t>for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</si>
</sst>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quot;₹&quot;\ #,##0"/>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0" borderId="0" xfId="0"/>
    <xf numFmtId="0" fontId="0" fillId="0" borderId="0" xfId="0"/>
    <xf numFmtId="164"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9" fontId="0" fillId="0" borderId="0" xfId="0" applyNumberFormat="1"/>
    <xf numFmtId="165" fontId="0" fillId="0" borderId="0" xfId="0" applyNumberFormat="1"/>
    <xf numFmtId="0" fontId="0" fillId="2" borderId="0" xfId="0" applyFill="1" applyAlignment="1">
      <alignment horizontal="center"/>
    </xf>
  </cellXfs>
  <cellStyles count="1">
    <cellStyle name="Normal" xfId="0" builtinId="0"/>
  </cellStyles>
  <dxfs count="8">
    <dxf>
      <numFmt numFmtId="165" formatCode="&quot;₹&quot;\ #,##0"/>
    </dxf>
    <dxf>
      <numFmt numFmtId="13" formatCode="0%"/>
    </dxf>
    <dxf>
      <numFmt numFmtId="165" formatCode="&quot;₹&quot;\ #,##0"/>
    </dxf>
    <dxf>
      <numFmt numFmtId="13" formatCode="0%"/>
    </dxf>
    <dxf>
      <numFmt numFmtId="164" formatCode="[$-14009]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2.xlsx]Sheet4!PivotTable3</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Sum</a:t>
            </a:r>
            <a:r>
              <a:rPr lang="en-US" baseline="0"/>
              <a:t> of discount Year Wise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areaChart>
        <c:grouping val="standard"/>
        <c:varyColors val="0"/>
        <c:ser>
          <c:idx val="0"/>
          <c:order val="0"/>
          <c:tx>
            <c:strRef>
              <c:f>Sheet4!$B$3</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multiLvlStrRef>
              <c:f>Sheet4!$A$4:$A$13</c:f>
              <c:multiLvlStrCache>
                <c:ptCount val="7"/>
                <c:lvl>
                  <c:pt idx="0">
                    <c:v>Qtr1</c:v>
                  </c:pt>
                  <c:pt idx="1">
                    <c:v>Qtr2</c:v>
                  </c:pt>
                  <c:pt idx="2">
                    <c:v>Qtr3</c:v>
                  </c:pt>
                  <c:pt idx="3">
                    <c:v>Qtr4</c:v>
                  </c:pt>
                  <c:pt idx="4">
                    <c:v>Qtr1</c:v>
                  </c:pt>
                  <c:pt idx="5">
                    <c:v>Qtr2</c:v>
                  </c:pt>
                  <c:pt idx="6">
                    <c:v>Qtr3</c:v>
                  </c:pt>
                </c:lvl>
                <c:lvl>
                  <c:pt idx="0">
                    <c:v>2024</c:v>
                  </c:pt>
                  <c:pt idx="4">
                    <c:v>2025</c:v>
                  </c:pt>
                </c:lvl>
              </c:multiLvlStrCache>
            </c:multiLvlStrRef>
          </c:cat>
          <c:val>
            <c:numRef>
              <c:f>Sheet4!$B$4:$B$13</c:f>
              <c:numCache>
                <c:formatCode>General</c:formatCode>
                <c:ptCount val="7"/>
                <c:pt idx="0">
                  <c:v>289</c:v>
                </c:pt>
                <c:pt idx="1">
                  <c:v>230</c:v>
                </c:pt>
                <c:pt idx="2">
                  <c:v>299</c:v>
                </c:pt>
                <c:pt idx="3">
                  <c:v>173</c:v>
                </c:pt>
                <c:pt idx="4">
                  <c:v>192</c:v>
                </c:pt>
                <c:pt idx="5">
                  <c:v>190</c:v>
                </c:pt>
                <c:pt idx="6">
                  <c:v>81</c:v>
                </c:pt>
              </c:numCache>
            </c:numRef>
          </c:val>
          <c:extLst>
            <c:ext xmlns:c16="http://schemas.microsoft.com/office/drawing/2014/chart" uri="{C3380CC4-5D6E-409C-BE32-E72D297353CC}">
              <c16:uniqueId val="{00000000-C8A9-445E-AD50-8562BBDC8D5C}"/>
            </c:ext>
          </c:extLst>
        </c:ser>
        <c:dLbls>
          <c:showLegendKey val="0"/>
          <c:showVal val="0"/>
          <c:showCatName val="0"/>
          <c:showSerName val="0"/>
          <c:showPercent val="0"/>
          <c:showBubbleSize val="0"/>
        </c:dLbls>
        <c:axId val="623199647"/>
        <c:axId val="685259183"/>
      </c:areaChart>
      <c:catAx>
        <c:axId val="62319964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685259183"/>
        <c:crosses val="autoZero"/>
        <c:auto val="1"/>
        <c:lblAlgn val="ctr"/>
        <c:lblOffset val="100"/>
        <c:noMultiLvlLbl val="0"/>
      </c:catAx>
      <c:valAx>
        <c:axId val="6852591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996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2.xlsx]Sheet5!PivotTable4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Discount vs Amt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42525684289463817"/>
          <c:y val="5.0926066155576648E-2"/>
          <c:w val="0.57403849518810146"/>
          <c:h val="0.8416746864975212"/>
        </c:manualLayout>
      </c:layout>
      <c:barChart>
        <c:barDir val="col"/>
        <c:grouping val="clustered"/>
        <c:varyColors val="0"/>
        <c:ser>
          <c:idx val="0"/>
          <c:order val="0"/>
          <c:tx>
            <c:strRef>
              <c:f>Sheet5!$B$3</c:f>
              <c:strCache>
                <c:ptCount val="1"/>
                <c:pt idx="0">
                  <c:v>Sum of Discount (%)</c:v>
                </c:pt>
              </c:strCache>
            </c:strRef>
          </c:tx>
          <c:spPr>
            <a:solidFill>
              <a:schemeClr val="accent1"/>
            </a:solidFill>
            <a:ln>
              <a:noFill/>
            </a:ln>
            <a:effectLst/>
          </c:spPr>
          <c:invertIfNegative val="0"/>
          <c:cat>
            <c:strRef>
              <c:f>Sheet5!$A$4:$A$5</c:f>
              <c:strCache>
                <c:ptCount val="2"/>
                <c:pt idx="0">
                  <c:v>2024</c:v>
                </c:pt>
                <c:pt idx="1">
                  <c:v>2025</c:v>
                </c:pt>
              </c:strCache>
            </c:strRef>
          </c:cat>
          <c:val>
            <c:numRef>
              <c:f>Sheet5!$B$4:$B$5</c:f>
              <c:numCache>
                <c:formatCode>General</c:formatCode>
                <c:ptCount val="2"/>
                <c:pt idx="0">
                  <c:v>991</c:v>
                </c:pt>
                <c:pt idx="1">
                  <c:v>463</c:v>
                </c:pt>
              </c:numCache>
            </c:numRef>
          </c:val>
          <c:extLst>
            <c:ext xmlns:c16="http://schemas.microsoft.com/office/drawing/2014/chart" uri="{C3380CC4-5D6E-409C-BE32-E72D297353CC}">
              <c16:uniqueId val="{00000000-40FA-4889-A564-49DE45D4F0C9}"/>
            </c:ext>
          </c:extLst>
        </c:ser>
        <c:ser>
          <c:idx val="1"/>
          <c:order val="1"/>
          <c:tx>
            <c:strRef>
              <c:f>Sheet5!$C$3</c:f>
              <c:strCache>
                <c:ptCount val="1"/>
                <c:pt idx="0">
                  <c:v>Sum of Amount</c:v>
                </c:pt>
              </c:strCache>
            </c:strRef>
          </c:tx>
          <c:spPr>
            <a:solidFill>
              <a:schemeClr val="accent2"/>
            </a:solidFill>
            <a:ln>
              <a:noFill/>
            </a:ln>
            <a:effectLst/>
          </c:spPr>
          <c:invertIfNegative val="0"/>
          <c:cat>
            <c:strRef>
              <c:f>Sheet5!$A$4:$A$5</c:f>
              <c:strCache>
                <c:ptCount val="2"/>
                <c:pt idx="0">
                  <c:v>2024</c:v>
                </c:pt>
                <c:pt idx="1">
                  <c:v>2025</c:v>
                </c:pt>
              </c:strCache>
            </c:strRef>
          </c:cat>
          <c:val>
            <c:numRef>
              <c:f>Sheet5!$C$4:$C$5</c:f>
              <c:numCache>
                <c:formatCode>General</c:formatCode>
                <c:ptCount val="2"/>
                <c:pt idx="0">
                  <c:v>1440914</c:v>
                </c:pt>
                <c:pt idx="1">
                  <c:v>1012240</c:v>
                </c:pt>
              </c:numCache>
            </c:numRef>
          </c:val>
          <c:extLst>
            <c:ext xmlns:c16="http://schemas.microsoft.com/office/drawing/2014/chart" uri="{C3380CC4-5D6E-409C-BE32-E72D297353CC}">
              <c16:uniqueId val="{00000002-40FA-4889-A564-49DE45D4F0C9}"/>
            </c:ext>
          </c:extLst>
        </c:ser>
        <c:dLbls>
          <c:showLegendKey val="0"/>
          <c:showVal val="0"/>
          <c:showCatName val="0"/>
          <c:showSerName val="0"/>
          <c:showPercent val="0"/>
          <c:showBubbleSize val="0"/>
        </c:dLbls>
        <c:gapWidth val="219"/>
        <c:overlap val="-27"/>
        <c:axId val="619120463"/>
        <c:axId val="617132703"/>
      </c:barChart>
      <c:catAx>
        <c:axId val="61912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32703"/>
        <c:crosses val="autoZero"/>
        <c:auto val="1"/>
        <c:lblAlgn val="ctr"/>
        <c:lblOffset val="100"/>
        <c:noMultiLvlLbl val="0"/>
      </c:catAx>
      <c:valAx>
        <c:axId val="617132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12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2.xlsx]Sheet6!PivotTable5</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Sum</a:t>
            </a:r>
            <a:r>
              <a:rPr lang="en-US" baseline="0"/>
              <a:t> of the amt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pattFill prst="ltUpDiag">
              <a:fgClr>
                <a:schemeClr val="accent1"/>
              </a:fgClr>
              <a:bgClr>
                <a:schemeClr val="lt1"/>
              </a:bgClr>
            </a:pattFill>
            <a:ln>
              <a:noFill/>
            </a:ln>
            <a:effectLst/>
          </c:spPr>
          <c:invertIfNegative val="0"/>
          <c:cat>
            <c:strRef>
              <c:f>Sheet6!$A$4:$A$6</c:f>
              <c:strCache>
                <c:ptCount val="2"/>
                <c:pt idx="0">
                  <c:v>2024</c:v>
                </c:pt>
                <c:pt idx="1">
                  <c:v>2025</c:v>
                </c:pt>
              </c:strCache>
            </c:strRef>
          </c:cat>
          <c:val>
            <c:numRef>
              <c:f>Sheet6!$B$4:$B$6</c:f>
              <c:numCache>
                <c:formatCode>General</c:formatCode>
                <c:ptCount val="2"/>
                <c:pt idx="0">
                  <c:v>1440914</c:v>
                </c:pt>
                <c:pt idx="1">
                  <c:v>1012240</c:v>
                </c:pt>
              </c:numCache>
            </c:numRef>
          </c:val>
          <c:extLst>
            <c:ext xmlns:c16="http://schemas.microsoft.com/office/drawing/2014/chart" uri="{C3380CC4-5D6E-409C-BE32-E72D297353CC}">
              <c16:uniqueId val="{00000000-22E9-4E61-8CB1-19B3B792BBFB}"/>
            </c:ext>
          </c:extLst>
        </c:ser>
        <c:dLbls>
          <c:showLegendKey val="0"/>
          <c:showVal val="0"/>
          <c:showCatName val="0"/>
          <c:showSerName val="0"/>
          <c:showPercent val="0"/>
          <c:showBubbleSize val="0"/>
        </c:dLbls>
        <c:gapWidth val="269"/>
        <c:overlap val="-20"/>
        <c:axId val="619151167"/>
        <c:axId val="613347071"/>
      </c:barChart>
      <c:catAx>
        <c:axId val="619151167"/>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13347071"/>
        <c:crosses val="autoZero"/>
        <c:auto val="1"/>
        <c:lblAlgn val="ctr"/>
        <c:lblOffset val="100"/>
        <c:noMultiLvlLbl val="0"/>
      </c:catAx>
      <c:valAx>
        <c:axId val="613347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915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2.xlsx]Sheet4!PivotTable3</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Sum</a:t>
            </a:r>
            <a:r>
              <a:rPr lang="en-US" baseline="0"/>
              <a:t> of discount Year Wise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w="9525">
              <a:solidFill>
                <a:schemeClr val="lt1"/>
              </a:solidFill>
            </a:ln>
            <a:effectLst/>
          </c:spPr>
        </c:marker>
      </c:pivotFmt>
      <c:pivotFmt>
        <c:idx val="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areaChart>
        <c:grouping val="standard"/>
        <c:varyColors val="0"/>
        <c:ser>
          <c:idx val="0"/>
          <c:order val="0"/>
          <c:tx>
            <c:strRef>
              <c:f>Sheet4!$B$3</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multiLvlStrRef>
              <c:f>Sheet4!$A$4:$A$13</c:f>
              <c:multiLvlStrCache>
                <c:ptCount val="7"/>
                <c:lvl>
                  <c:pt idx="0">
                    <c:v>Qtr1</c:v>
                  </c:pt>
                  <c:pt idx="1">
                    <c:v>Qtr2</c:v>
                  </c:pt>
                  <c:pt idx="2">
                    <c:v>Qtr3</c:v>
                  </c:pt>
                  <c:pt idx="3">
                    <c:v>Qtr4</c:v>
                  </c:pt>
                  <c:pt idx="4">
                    <c:v>Qtr1</c:v>
                  </c:pt>
                  <c:pt idx="5">
                    <c:v>Qtr2</c:v>
                  </c:pt>
                  <c:pt idx="6">
                    <c:v>Qtr3</c:v>
                  </c:pt>
                </c:lvl>
                <c:lvl>
                  <c:pt idx="0">
                    <c:v>2024</c:v>
                  </c:pt>
                  <c:pt idx="4">
                    <c:v>2025</c:v>
                  </c:pt>
                </c:lvl>
              </c:multiLvlStrCache>
            </c:multiLvlStrRef>
          </c:cat>
          <c:val>
            <c:numRef>
              <c:f>Sheet4!$B$4:$B$13</c:f>
              <c:numCache>
                <c:formatCode>General</c:formatCode>
                <c:ptCount val="7"/>
                <c:pt idx="0">
                  <c:v>289</c:v>
                </c:pt>
                <c:pt idx="1">
                  <c:v>230</c:v>
                </c:pt>
                <c:pt idx="2">
                  <c:v>299</c:v>
                </c:pt>
                <c:pt idx="3">
                  <c:v>173</c:v>
                </c:pt>
                <c:pt idx="4">
                  <c:v>192</c:v>
                </c:pt>
                <c:pt idx="5">
                  <c:v>190</c:v>
                </c:pt>
                <c:pt idx="6">
                  <c:v>81</c:v>
                </c:pt>
              </c:numCache>
            </c:numRef>
          </c:val>
          <c:extLst>
            <c:ext xmlns:c16="http://schemas.microsoft.com/office/drawing/2014/chart" uri="{C3380CC4-5D6E-409C-BE32-E72D297353CC}">
              <c16:uniqueId val="{00000000-C4B0-49F6-8A48-3D01C2D68F7A}"/>
            </c:ext>
          </c:extLst>
        </c:ser>
        <c:dLbls>
          <c:showLegendKey val="0"/>
          <c:showVal val="0"/>
          <c:showCatName val="0"/>
          <c:showSerName val="0"/>
          <c:showPercent val="0"/>
          <c:showBubbleSize val="0"/>
        </c:dLbls>
        <c:axId val="623199647"/>
        <c:axId val="685259183"/>
      </c:areaChart>
      <c:catAx>
        <c:axId val="62319964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685259183"/>
        <c:crosses val="autoZero"/>
        <c:auto val="1"/>
        <c:lblAlgn val="ctr"/>
        <c:lblOffset val="100"/>
        <c:noMultiLvlLbl val="0"/>
      </c:catAx>
      <c:valAx>
        <c:axId val="6852591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996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2.xlsx]Sheet5!PivotTable4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Discount vs Amt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42525684289463817"/>
          <c:y val="5.0926066155576648E-2"/>
          <c:w val="0.57403849518810146"/>
          <c:h val="0.8416746864975212"/>
        </c:manualLayout>
      </c:layout>
      <c:barChart>
        <c:barDir val="col"/>
        <c:grouping val="clustered"/>
        <c:varyColors val="0"/>
        <c:ser>
          <c:idx val="0"/>
          <c:order val="0"/>
          <c:tx>
            <c:strRef>
              <c:f>Sheet5!$B$3</c:f>
              <c:strCache>
                <c:ptCount val="1"/>
                <c:pt idx="0">
                  <c:v>Sum of Discount (%)</c:v>
                </c:pt>
              </c:strCache>
            </c:strRef>
          </c:tx>
          <c:spPr>
            <a:solidFill>
              <a:schemeClr val="accent1"/>
            </a:solidFill>
            <a:ln>
              <a:noFill/>
            </a:ln>
            <a:effectLst/>
          </c:spPr>
          <c:invertIfNegative val="0"/>
          <c:cat>
            <c:strRef>
              <c:f>Sheet5!$A$4:$A$5</c:f>
              <c:strCache>
                <c:ptCount val="2"/>
                <c:pt idx="0">
                  <c:v>2024</c:v>
                </c:pt>
                <c:pt idx="1">
                  <c:v>2025</c:v>
                </c:pt>
              </c:strCache>
            </c:strRef>
          </c:cat>
          <c:val>
            <c:numRef>
              <c:f>Sheet5!$B$4:$B$5</c:f>
              <c:numCache>
                <c:formatCode>General</c:formatCode>
                <c:ptCount val="2"/>
                <c:pt idx="0">
                  <c:v>991</c:v>
                </c:pt>
                <c:pt idx="1">
                  <c:v>463</c:v>
                </c:pt>
              </c:numCache>
            </c:numRef>
          </c:val>
          <c:extLst>
            <c:ext xmlns:c16="http://schemas.microsoft.com/office/drawing/2014/chart" uri="{C3380CC4-5D6E-409C-BE32-E72D297353CC}">
              <c16:uniqueId val="{00000000-43CC-4F92-9408-EE2496FE7052}"/>
            </c:ext>
          </c:extLst>
        </c:ser>
        <c:ser>
          <c:idx val="1"/>
          <c:order val="1"/>
          <c:tx>
            <c:strRef>
              <c:f>Sheet5!$C$3</c:f>
              <c:strCache>
                <c:ptCount val="1"/>
                <c:pt idx="0">
                  <c:v>Sum of Amount</c:v>
                </c:pt>
              </c:strCache>
            </c:strRef>
          </c:tx>
          <c:spPr>
            <a:solidFill>
              <a:schemeClr val="accent2"/>
            </a:solidFill>
            <a:ln>
              <a:noFill/>
            </a:ln>
            <a:effectLst/>
          </c:spPr>
          <c:invertIfNegative val="0"/>
          <c:cat>
            <c:strRef>
              <c:f>Sheet5!$A$4:$A$5</c:f>
              <c:strCache>
                <c:ptCount val="2"/>
                <c:pt idx="0">
                  <c:v>2024</c:v>
                </c:pt>
                <c:pt idx="1">
                  <c:v>2025</c:v>
                </c:pt>
              </c:strCache>
            </c:strRef>
          </c:cat>
          <c:val>
            <c:numRef>
              <c:f>Sheet5!$C$4:$C$5</c:f>
              <c:numCache>
                <c:formatCode>General</c:formatCode>
                <c:ptCount val="2"/>
                <c:pt idx="0">
                  <c:v>1440914</c:v>
                </c:pt>
                <c:pt idx="1">
                  <c:v>1012240</c:v>
                </c:pt>
              </c:numCache>
            </c:numRef>
          </c:val>
          <c:extLst>
            <c:ext xmlns:c16="http://schemas.microsoft.com/office/drawing/2014/chart" uri="{C3380CC4-5D6E-409C-BE32-E72D297353CC}">
              <c16:uniqueId val="{00000001-43CC-4F92-9408-EE2496FE7052}"/>
            </c:ext>
          </c:extLst>
        </c:ser>
        <c:dLbls>
          <c:showLegendKey val="0"/>
          <c:showVal val="0"/>
          <c:showCatName val="0"/>
          <c:showSerName val="0"/>
          <c:showPercent val="0"/>
          <c:showBubbleSize val="0"/>
        </c:dLbls>
        <c:gapWidth val="219"/>
        <c:overlap val="-27"/>
        <c:axId val="619120463"/>
        <c:axId val="617132703"/>
      </c:barChart>
      <c:catAx>
        <c:axId val="61912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32703"/>
        <c:crosses val="autoZero"/>
        <c:auto val="1"/>
        <c:lblAlgn val="ctr"/>
        <c:lblOffset val="100"/>
        <c:noMultiLvlLbl val="0"/>
      </c:catAx>
      <c:valAx>
        <c:axId val="617132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12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2.xlsx]Sheet6!PivotTable5</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Sum</a:t>
            </a:r>
            <a:r>
              <a:rPr lang="en-US" baseline="0"/>
              <a:t> of the amt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pivotFmt>
      <c:pivotFmt>
        <c:idx val="1"/>
        <c:spPr>
          <a:pattFill prst="ltUpDiag">
            <a:fgClr>
              <a:schemeClr val="accent1"/>
            </a:fgClr>
            <a:bgClr>
              <a:schemeClr val="lt1"/>
            </a:bgClr>
          </a:pattFill>
          <a:ln>
            <a:noFill/>
          </a:ln>
          <a:effectLst/>
        </c:spPr>
        <c:marker>
          <c:symbol val="none"/>
        </c:marker>
      </c:pivotFmt>
      <c:pivotFmt>
        <c:idx val="2"/>
        <c:spPr>
          <a:pattFill prst="ltUpDiag">
            <a:fgClr>
              <a:schemeClr val="accent1"/>
            </a:fgClr>
            <a:bgClr>
              <a:schemeClr val="lt1"/>
            </a:bgClr>
          </a:patt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pattFill prst="ltUpDiag">
              <a:fgClr>
                <a:schemeClr val="accent1"/>
              </a:fgClr>
              <a:bgClr>
                <a:schemeClr val="lt1"/>
              </a:bgClr>
            </a:pattFill>
            <a:ln>
              <a:noFill/>
            </a:ln>
            <a:effectLst/>
          </c:spPr>
          <c:invertIfNegative val="0"/>
          <c:cat>
            <c:strRef>
              <c:f>Sheet6!$A$4:$A$6</c:f>
              <c:strCache>
                <c:ptCount val="2"/>
                <c:pt idx="0">
                  <c:v>2024</c:v>
                </c:pt>
                <c:pt idx="1">
                  <c:v>2025</c:v>
                </c:pt>
              </c:strCache>
            </c:strRef>
          </c:cat>
          <c:val>
            <c:numRef>
              <c:f>Sheet6!$B$4:$B$6</c:f>
              <c:numCache>
                <c:formatCode>General</c:formatCode>
                <c:ptCount val="2"/>
                <c:pt idx="0">
                  <c:v>1440914</c:v>
                </c:pt>
                <c:pt idx="1">
                  <c:v>1012240</c:v>
                </c:pt>
              </c:numCache>
            </c:numRef>
          </c:val>
          <c:extLst>
            <c:ext xmlns:c16="http://schemas.microsoft.com/office/drawing/2014/chart" uri="{C3380CC4-5D6E-409C-BE32-E72D297353CC}">
              <c16:uniqueId val="{00000000-2A77-48D0-A5BA-4251A33767B0}"/>
            </c:ext>
          </c:extLst>
        </c:ser>
        <c:dLbls>
          <c:showLegendKey val="0"/>
          <c:showVal val="0"/>
          <c:showCatName val="0"/>
          <c:showSerName val="0"/>
          <c:showPercent val="0"/>
          <c:showBubbleSize val="0"/>
        </c:dLbls>
        <c:gapWidth val="269"/>
        <c:overlap val="-20"/>
        <c:axId val="619151167"/>
        <c:axId val="613347071"/>
      </c:barChart>
      <c:catAx>
        <c:axId val="619151167"/>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13347071"/>
        <c:crosses val="autoZero"/>
        <c:auto val="1"/>
        <c:lblAlgn val="ctr"/>
        <c:lblOffset val="100"/>
        <c:noMultiLvlLbl val="0"/>
      </c:catAx>
      <c:valAx>
        <c:axId val="613347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915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361950</xdr:colOff>
      <xdr:row>7</xdr:row>
      <xdr:rowOff>66675</xdr:rowOff>
    </xdr:from>
    <xdr:to>
      <xdr:col>4</xdr:col>
      <xdr:colOff>1362075</xdr:colOff>
      <xdr:row>20</xdr:row>
      <xdr:rowOff>114300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05902463-D19E-4890-B857-67075BE442A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686175" y="1400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1362075</xdr:colOff>
      <xdr:row>7</xdr:row>
      <xdr:rowOff>47625</xdr:rowOff>
    </xdr:from>
    <xdr:to>
      <xdr:col>7</xdr:col>
      <xdr:colOff>104775</xdr:colOff>
      <xdr:row>20</xdr:row>
      <xdr:rowOff>95250</xdr:rowOff>
    </xdr:to>
    <mc:AlternateContent xmlns:mc="http://schemas.openxmlformats.org/markup-compatibility/2006" xmlns:a14="http://schemas.microsoft.com/office/drawing/2010/main">
      <mc:Choice Requires="a14">
        <xdr:graphicFrame macro="">
          <xdr:nvGraphicFramePr>
            <xdr:cNvPr id="3" name="Returned">
              <a:extLst>
                <a:ext uri="{FF2B5EF4-FFF2-40B4-BE49-F238E27FC236}">
                  <a16:creationId xmlns:a16="http://schemas.microsoft.com/office/drawing/2014/main" id="{A7034820-2EE9-4F89-8187-E371D81223C8}"/>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5514975" y="1381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371475</xdr:colOff>
      <xdr:row>0</xdr:row>
      <xdr:rowOff>0</xdr:rowOff>
    </xdr:from>
    <xdr:to>
      <xdr:col>6</xdr:col>
      <xdr:colOff>352425</xdr:colOff>
      <xdr:row>7</xdr:row>
      <xdr:rowOff>38100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E3B897BE-3897-4670-83C2-D6AE59DA6B6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695700" y="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142875</xdr:colOff>
      <xdr:row>3</xdr:row>
      <xdr:rowOff>90487</xdr:rowOff>
    </xdr:from>
    <xdr:to>
      <xdr:col>10</xdr:col>
      <xdr:colOff>447675</xdr:colOff>
      <xdr:row>17</xdr:row>
      <xdr:rowOff>166687</xdr:rowOff>
    </xdr:to>
    <xdr:graphicFrame macro="">
      <xdr:nvGraphicFramePr>
        <xdr:cNvPr id="2" name="Chart 1">
          <a:extLst>
            <a:ext uri="{FF2B5EF4-FFF2-40B4-BE49-F238E27FC236}">
              <a16:creationId xmlns:a16="http://schemas.microsoft.com/office/drawing/2014/main" id="{3FF0AB79-C77D-4A0A-9BF3-D61A929C2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114301</xdr:colOff>
      <xdr:row>2</xdr:row>
      <xdr:rowOff>38100</xdr:rowOff>
    </xdr:from>
    <xdr:to>
      <xdr:col>8</xdr:col>
      <xdr:colOff>476251</xdr:colOff>
      <xdr:row>18</xdr:row>
      <xdr:rowOff>19050</xdr:rowOff>
    </xdr:to>
    <xdr:graphicFrame macro="">
      <xdr:nvGraphicFramePr>
        <xdr:cNvPr id="2" name="Chart 1">
          <a:extLst>
            <a:ext uri="{FF2B5EF4-FFF2-40B4-BE49-F238E27FC236}">
              <a16:creationId xmlns:a16="http://schemas.microsoft.com/office/drawing/2014/main" id="{A12AE0D3-96A7-4BF3-B662-D5D01F363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457200</xdr:colOff>
      <xdr:row>3</xdr:row>
      <xdr:rowOff>185737</xdr:rowOff>
    </xdr:from>
    <xdr:to>
      <xdr:col>10</xdr:col>
      <xdr:colOff>152400</xdr:colOff>
      <xdr:row>18</xdr:row>
      <xdr:rowOff>71437</xdr:rowOff>
    </xdr:to>
    <xdr:graphicFrame macro="">
      <xdr:nvGraphicFramePr>
        <xdr:cNvPr id="2" name="Chart 1">
          <a:extLst>
            <a:ext uri="{FF2B5EF4-FFF2-40B4-BE49-F238E27FC236}">
              <a16:creationId xmlns:a16="http://schemas.microsoft.com/office/drawing/2014/main" id="{A037DCB9-04C3-46BA-9CBF-650E8585D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590550</xdr:colOff>
      <xdr:row>0</xdr:row>
      <xdr:rowOff>19050</xdr:rowOff>
    </xdr:from>
    <xdr:to>
      <xdr:col>5</xdr:col>
      <xdr:colOff>600075</xdr:colOff>
      <xdr:row>3</xdr:row>
      <xdr:rowOff>161925</xdr:rowOff>
    </xdr:to>
    <xdr:sp macro="" textlink="">
      <xdr:nvSpPr>
        <xdr:cNvPr id="2" name="Rectangle 1">
          <a:extLst>
            <a:ext uri="{FF2B5EF4-FFF2-40B4-BE49-F238E27FC236}">
              <a16:creationId xmlns:a16="http://schemas.microsoft.com/office/drawing/2014/main" id="{6AE9F408-FA51-415F-84F0-4555E58D3335}"/>
            </a:ext>
          </a:extLst>
        </xdr:cNvPr>
        <xdr:cNvSpPr/>
      </xdr:nvSpPr>
      <xdr:spPr>
        <a:xfrm>
          <a:off x="1809750" y="19050"/>
          <a:ext cx="1838325" cy="714375"/>
        </a:xfrm>
        <a:prstGeom prst="rect">
          <a:avLst/>
        </a:prstGeom>
        <a:solidFill>
          <a:srgbClr val="7030A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4</xdr:col>
      <xdr:colOff>590550</xdr:colOff>
      <xdr:row>0</xdr:row>
      <xdr:rowOff>104775</xdr:rowOff>
    </xdr:from>
    <xdr:to>
      <xdr:col>5</xdr:col>
      <xdr:colOff>533400</xdr:colOff>
      <xdr:row>1</xdr:row>
      <xdr:rowOff>180975</xdr:rowOff>
    </xdr:to>
    <xdr:sp macro="" textlink="Sheet2!B6">
      <xdr:nvSpPr>
        <xdr:cNvPr id="3" name="TextBox 2">
          <a:extLst>
            <a:ext uri="{FF2B5EF4-FFF2-40B4-BE49-F238E27FC236}">
              <a16:creationId xmlns:a16="http://schemas.microsoft.com/office/drawing/2014/main" id="{C56B77CC-A4C0-4F9F-9956-52BA702F28EB}"/>
            </a:ext>
          </a:extLst>
        </xdr:cNvPr>
        <xdr:cNvSpPr txBox="1"/>
      </xdr:nvSpPr>
      <xdr:spPr>
        <a:xfrm>
          <a:off x="3028950" y="104775"/>
          <a:ext cx="552450" cy="2667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6F1192-BF05-440A-B401-59689F6A1363}" type="TxLink">
            <a:rPr lang="en-US" sz="1100" b="1" i="0" u="none" strike="noStrike">
              <a:solidFill>
                <a:schemeClr val="bg1"/>
              </a:solidFill>
              <a:latin typeface="Calibri"/>
              <a:cs typeface="Calibri"/>
            </a:rPr>
            <a:pPr/>
            <a:t>51</a:t>
          </a:fld>
          <a:endParaRPr lang="en-IN" sz="1100" b="1">
            <a:solidFill>
              <a:schemeClr val="bg1"/>
            </a:solidFill>
          </a:endParaRPr>
        </a:p>
      </xdr:txBody>
    </xdr:sp>
    <xdr:clientData/>
  </xdr:twoCellAnchor>
  <xdr:twoCellAnchor>
    <xdr:from>
      <xdr:col>4</xdr:col>
      <xdr:colOff>514350</xdr:colOff>
      <xdr:row>1</xdr:row>
      <xdr:rowOff>123825</xdr:rowOff>
    </xdr:from>
    <xdr:to>
      <xdr:col>5</xdr:col>
      <xdr:colOff>590550</xdr:colOff>
      <xdr:row>2</xdr:row>
      <xdr:rowOff>171450</xdr:rowOff>
    </xdr:to>
    <xdr:sp macro="" textlink="">
      <xdr:nvSpPr>
        <xdr:cNvPr id="5" name="Rectangle 4">
          <a:extLst>
            <a:ext uri="{FF2B5EF4-FFF2-40B4-BE49-F238E27FC236}">
              <a16:creationId xmlns:a16="http://schemas.microsoft.com/office/drawing/2014/main" id="{0F623B02-8CBC-442B-9879-36F3B43AAC6B}"/>
            </a:ext>
          </a:extLst>
        </xdr:cNvPr>
        <xdr:cNvSpPr/>
      </xdr:nvSpPr>
      <xdr:spPr>
        <a:xfrm>
          <a:off x="2952750" y="314325"/>
          <a:ext cx="685800" cy="238125"/>
        </a:xfrm>
        <a:prstGeom prst="rect">
          <a:avLst/>
        </a:prstGeom>
        <a:solidFill>
          <a:srgbClr val="7030A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bg1"/>
              </a:solidFill>
              <a:latin typeface="Times New Roman" panose="02020603050405020304" pitchFamily="18" charset="0"/>
              <a:cs typeface="Times New Roman" panose="02020603050405020304" pitchFamily="18" charset="0"/>
            </a:rPr>
            <a:t>Order</a:t>
          </a:r>
        </a:p>
      </xdr:txBody>
    </xdr:sp>
    <xdr:clientData/>
  </xdr:twoCellAnchor>
  <xdr:twoCellAnchor>
    <xdr:from>
      <xdr:col>5</xdr:col>
      <xdr:colOff>657225</xdr:colOff>
      <xdr:row>0</xdr:row>
      <xdr:rowOff>9525</xdr:rowOff>
    </xdr:from>
    <xdr:to>
      <xdr:col>8</xdr:col>
      <xdr:colOff>9525</xdr:colOff>
      <xdr:row>3</xdr:row>
      <xdr:rowOff>152400</xdr:rowOff>
    </xdr:to>
    <xdr:sp macro="" textlink="">
      <xdr:nvSpPr>
        <xdr:cNvPr id="6" name="Rectangle 5">
          <a:extLst>
            <a:ext uri="{FF2B5EF4-FFF2-40B4-BE49-F238E27FC236}">
              <a16:creationId xmlns:a16="http://schemas.microsoft.com/office/drawing/2014/main" id="{65AF48A2-DE65-45A6-B6F5-DA97680ADE1B}"/>
            </a:ext>
          </a:extLst>
        </xdr:cNvPr>
        <xdr:cNvSpPr/>
      </xdr:nvSpPr>
      <xdr:spPr>
        <a:xfrm>
          <a:off x="4419600" y="9525"/>
          <a:ext cx="2219325" cy="714375"/>
        </a:xfrm>
        <a:prstGeom prst="rect">
          <a:avLst/>
        </a:prstGeom>
        <a:solidFill>
          <a:srgbClr val="00206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7</xdr:col>
      <xdr:colOff>47625</xdr:colOff>
      <xdr:row>0</xdr:row>
      <xdr:rowOff>19050</xdr:rowOff>
    </xdr:from>
    <xdr:to>
      <xdr:col>7</xdr:col>
      <xdr:colOff>600075</xdr:colOff>
      <xdr:row>1</xdr:row>
      <xdr:rowOff>95250</xdr:rowOff>
    </xdr:to>
    <xdr:sp macro="" textlink="Sheet2!B7">
      <xdr:nvSpPr>
        <xdr:cNvPr id="7" name="TextBox 6">
          <a:extLst>
            <a:ext uri="{FF2B5EF4-FFF2-40B4-BE49-F238E27FC236}">
              <a16:creationId xmlns:a16="http://schemas.microsoft.com/office/drawing/2014/main" id="{4CB2F857-306E-4BF2-871F-D788E57C0E76}"/>
            </a:ext>
          </a:extLst>
        </xdr:cNvPr>
        <xdr:cNvSpPr txBox="1"/>
      </xdr:nvSpPr>
      <xdr:spPr>
        <a:xfrm>
          <a:off x="6067425" y="19050"/>
          <a:ext cx="552450" cy="2667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1A49B9-CBA3-4521-B564-D8983B6FF010}" type="TxLink">
            <a:rPr lang="en-US" sz="1100" b="1" i="0" u="none" strike="noStrike">
              <a:solidFill>
                <a:schemeClr val="bg1"/>
              </a:solidFill>
              <a:latin typeface="Calibri"/>
              <a:cs typeface="Calibri"/>
            </a:rPr>
            <a:pPr/>
            <a:t>51</a:t>
          </a:fld>
          <a:endParaRPr lang="en-IN" sz="1100" b="1">
            <a:solidFill>
              <a:schemeClr val="bg1"/>
            </a:solidFill>
          </a:endParaRPr>
        </a:p>
      </xdr:txBody>
    </xdr:sp>
    <xdr:clientData/>
  </xdr:twoCellAnchor>
  <xdr:twoCellAnchor>
    <xdr:from>
      <xdr:col>6</xdr:col>
      <xdr:colOff>885825</xdr:colOff>
      <xdr:row>1</xdr:row>
      <xdr:rowOff>104775</xdr:rowOff>
    </xdr:from>
    <xdr:to>
      <xdr:col>7</xdr:col>
      <xdr:colOff>581025</xdr:colOff>
      <xdr:row>2</xdr:row>
      <xdr:rowOff>152400</xdr:rowOff>
    </xdr:to>
    <xdr:sp macro="" textlink="">
      <xdr:nvSpPr>
        <xdr:cNvPr id="8" name="Rectangle 7">
          <a:extLst>
            <a:ext uri="{FF2B5EF4-FFF2-40B4-BE49-F238E27FC236}">
              <a16:creationId xmlns:a16="http://schemas.microsoft.com/office/drawing/2014/main" id="{825476DB-EBC3-4149-91A9-F05105EEEDBB}"/>
            </a:ext>
          </a:extLst>
        </xdr:cNvPr>
        <xdr:cNvSpPr/>
      </xdr:nvSpPr>
      <xdr:spPr>
        <a:xfrm>
          <a:off x="5915025" y="295275"/>
          <a:ext cx="685800" cy="238125"/>
        </a:xfrm>
        <a:prstGeom prst="rect">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bg1"/>
              </a:solidFill>
              <a:latin typeface="Times New Roman" panose="02020603050405020304" pitchFamily="18" charset="0"/>
              <a:cs typeface="Times New Roman" panose="02020603050405020304" pitchFamily="18" charset="0"/>
            </a:rPr>
            <a:t>City</a:t>
          </a:r>
        </a:p>
      </xdr:txBody>
    </xdr:sp>
    <xdr:clientData/>
  </xdr:twoCellAnchor>
  <xdr:twoCellAnchor>
    <xdr:from>
      <xdr:col>11</xdr:col>
      <xdr:colOff>200025</xdr:colOff>
      <xdr:row>0</xdr:row>
      <xdr:rowOff>28575</xdr:rowOff>
    </xdr:from>
    <xdr:to>
      <xdr:col>14</xdr:col>
      <xdr:colOff>209550</xdr:colOff>
      <xdr:row>3</xdr:row>
      <xdr:rowOff>171450</xdr:rowOff>
    </xdr:to>
    <xdr:sp macro="" textlink="">
      <xdr:nvSpPr>
        <xdr:cNvPr id="13" name="Rectangle 12">
          <a:extLst>
            <a:ext uri="{FF2B5EF4-FFF2-40B4-BE49-F238E27FC236}">
              <a16:creationId xmlns:a16="http://schemas.microsoft.com/office/drawing/2014/main" id="{34144ADB-7140-4F23-8E01-8FC3E5C4CEA2}"/>
            </a:ext>
          </a:extLst>
        </xdr:cNvPr>
        <xdr:cNvSpPr/>
      </xdr:nvSpPr>
      <xdr:spPr>
        <a:xfrm>
          <a:off x="8658225" y="28575"/>
          <a:ext cx="1838325" cy="714375"/>
        </a:xfrm>
        <a:prstGeom prst="rect">
          <a:avLst/>
        </a:prstGeom>
        <a:solidFill>
          <a:srgbClr val="00B0F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85725</xdr:colOff>
      <xdr:row>0</xdr:row>
      <xdr:rowOff>9525</xdr:rowOff>
    </xdr:from>
    <xdr:to>
      <xdr:col>11</xdr:col>
      <xdr:colOff>95250</xdr:colOff>
      <xdr:row>3</xdr:row>
      <xdr:rowOff>152400</xdr:rowOff>
    </xdr:to>
    <xdr:sp macro="" textlink="">
      <xdr:nvSpPr>
        <xdr:cNvPr id="14" name="Rectangle 13">
          <a:extLst>
            <a:ext uri="{FF2B5EF4-FFF2-40B4-BE49-F238E27FC236}">
              <a16:creationId xmlns:a16="http://schemas.microsoft.com/office/drawing/2014/main" id="{D0D87939-9AF9-44C7-AF65-E2E34EC00C2B}"/>
            </a:ext>
          </a:extLst>
        </xdr:cNvPr>
        <xdr:cNvSpPr/>
      </xdr:nvSpPr>
      <xdr:spPr>
        <a:xfrm>
          <a:off x="6715125" y="9525"/>
          <a:ext cx="1838325" cy="714375"/>
        </a:xfrm>
        <a:prstGeom prst="rect">
          <a:avLst/>
        </a:prstGeom>
        <a:solidFill>
          <a:srgbClr val="0070C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13</xdr:col>
      <xdr:colOff>247650</xdr:colOff>
      <xdr:row>0</xdr:row>
      <xdr:rowOff>76200</xdr:rowOff>
    </xdr:from>
    <xdr:to>
      <xdr:col>14</xdr:col>
      <xdr:colOff>190500</xdr:colOff>
      <xdr:row>1</xdr:row>
      <xdr:rowOff>152400</xdr:rowOff>
    </xdr:to>
    <xdr:sp macro="" textlink="Sheet2!B7">
      <xdr:nvSpPr>
        <xdr:cNvPr id="15" name="TextBox 14">
          <a:extLst>
            <a:ext uri="{FF2B5EF4-FFF2-40B4-BE49-F238E27FC236}">
              <a16:creationId xmlns:a16="http://schemas.microsoft.com/office/drawing/2014/main" id="{CF7C6B03-08FF-40E4-88A0-21EC734276DD}"/>
            </a:ext>
          </a:extLst>
        </xdr:cNvPr>
        <xdr:cNvSpPr txBox="1"/>
      </xdr:nvSpPr>
      <xdr:spPr>
        <a:xfrm>
          <a:off x="9925050" y="76200"/>
          <a:ext cx="552450" cy="266700"/>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1A49B9-CBA3-4521-B564-D8983B6FF010}" type="TxLink">
            <a:rPr lang="en-US" sz="1100" b="1" i="0" u="none" strike="noStrike">
              <a:solidFill>
                <a:schemeClr val="bg1"/>
              </a:solidFill>
              <a:latin typeface="Calibri"/>
              <a:cs typeface="Calibri"/>
            </a:rPr>
            <a:pPr/>
            <a:t>51</a:t>
          </a:fld>
          <a:endParaRPr lang="en-IN" sz="1100" b="1">
            <a:solidFill>
              <a:schemeClr val="bg1"/>
            </a:solidFill>
          </a:endParaRPr>
        </a:p>
      </xdr:txBody>
    </xdr:sp>
    <xdr:clientData/>
  </xdr:twoCellAnchor>
  <xdr:twoCellAnchor>
    <xdr:from>
      <xdr:col>10</xdr:col>
      <xdr:colOff>133350</xdr:colOff>
      <xdr:row>0</xdr:row>
      <xdr:rowOff>19050</xdr:rowOff>
    </xdr:from>
    <xdr:to>
      <xdr:col>11</xdr:col>
      <xdr:colOff>76200</xdr:colOff>
      <xdr:row>1</xdr:row>
      <xdr:rowOff>95250</xdr:rowOff>
    </xdr:to>
    <xdr:sp macro="" textlink="Sheet2!B7">
      <xdr:nvSpPr>
        <xdr:cNvPr id="16" name="TextBox 15">
          <a:extLst>
            <a:ext uri="{FF2B5EF4-FFF2-40B4-BE49-F238E27FC236}">
              <a16:creationId xmlns:a16="http://schemas.microsoft.com/office/drawing/2014/main" id="{63A4CE26-8340-4985-84B3-A7106B0B6729}"/>
            </a:ext>
          </a:extLst>
        </xdr:cNvPr>
        <xdr:cNvSpPr txBox="1"/>
      </xdr:nvSpPr>
      <xdr:spPr>
        <a:xfrm>
          <a:off x="7981950" y="19050"/>
          <a:ext cx="552450" cy="26670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1A49B9-CBA3-4521-B564-D8983B6FF010}" type="TxLink">
            <a:rPr lang="en-US" sz="1100" b="1" i="0" u="none" strike="noStrike">
              <a:solidFill>
                <a:schemeClr val="bg1"/>
              </a:solidFill>
              <a:latin typeface="Calibri"/>
              <a:cs typeface="Calibri"/>
            </a:rPr>
            <a:pPr/>
            <a:t>51</a:t>
          </a:fld>
          <a:endParaRPr lang="en-IN" sz="1100" b="1">
            <a:solidFill>
              <a:schemeClr val="bg1"/>
            </a:solidFill>
          </a:endParaRPr>
        </a:p>
      </xdr:txBody>
    </xdr:sp>
    <xdr:clientData/>
  </xdr:twoCellAnchor>
  <xdr:twoCellAnchor>
    <xdr:from>
      <xdr:col>13</xdr:col>
      <xdr:colOff>104775</xdr:colOff>
      <xdr:row>1</xdr:row>
      <xdr:rowOff>114300</xdr:rowOff>
    </xdr:from>
    <xdr:to>
      <xdr:col>14</xdr:col>
      <xdr:colOff>180975</xdr:colOff>
      <xdr:row>2</xdr:row>
      <xdr:rowOff>161925</xdr:rowOff>
    </xdr:to>
    <xdr:sp macro="" textlink="">
      <xdr:nvSpPr>
        <xdr:cNvPr id="17" name="Rectangle 16">
          <a:extLst>
            <a:ext uri="{FF2B5EF4-FFF2-40B4-BE49-F238E27FC236}">
              <a16:creationId xmlns:a16="http://schemas.microsoft.com/office/drawing/2014/main" id="{EB5CAFF9-ED27-4CE8-9818-15FFF006EA2F}"/>
            </a:ext>
          </a:extLst>
        </xdr:cNvPr>
        <xdr:cNvSpPr/>
      </xdr:nvSpPr>
      <xdr:spPr>
        <a:xfrm>
          <a:off x="9782175" y="304800"/>
          <a:ext cx="685800" cy="238125"/>
        </a:xfrm>
        <a:prstGeom prst="rect">
          <a:avLst/>
        </a:prstGeom>
        <a:solidFill>
          <a:srgbClr val="00B0F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bg1"/>
              </a:solidFill>
              <a:latin typeface="Times New Roman" panose="02020603050405020304" pitchFamily="18" charset="0"/>
              <a:cs typeface="Times New Roman" panose="02020603050405020304" pitchFamily="18" charset="0"/>
            </a:rPr>
            <a:t>Amt</a:t>
          </a:r>
        </a:p>
      </xdr:txBody>
    </xdr:sp>
    <xdr:clientData/>
  </xdr:twoCellAnchor>
  <xdr:twoCellAnchor>
    <xdr:from>
      <xdr:col>8</xdr:col>
      <xdr:colOff>533400</xdr:colOff>
      <xdr:row>1</xdr:row>
      <xdr:rowOff>66675</xdr:rowOff>
    </xdr:from>
    <xdr:to>
      <xdr:col>11</xdr:col>
      <xdr:colOff>66675</xdr:colOff>
      <xdr:row>2</xdr:row>
      <xdr:rowOff>114300</xdr:rowOff>
    </xdr:to>
    <xdr:sp macro="" textlink="">
      <xdr:nvSpPr>
        <xdr:cNvPr id="19" name="Rectangle 18">
          <a:extLst>
            <a:ext uri="{FF2B5EF4-FFF2-40B4-BE49-F238E27FC236}">
              <a16:creationId xmlns:a16="http://schemas.microsoft.com/office/drawing/2014/main" id="{C83A01DD-10F2-43EA-BA3B-26526DF87E5D}"/>
            </a:ext>
          </a:extLst>
        </xdr:cNvPr>
        <xdr:cNvSpPr/>
      </xdr:nvSpPr>
      <xdr:spPr>
        <a:xfrm>
          <a:off x="7162800" y="257175"/>
          <a:ext cx="1362075" cy="238125"/>
        </a:xfrm>
        <a:prstGeom prst="rect">
          <a:avLst/>
        </a:prstGeom>
        <a:solidFill>
          <a:srgbClr val="0070C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bg1"/>
              </a:solidFill>
              <a:latin typeface="Times New Roman" panose="02020603050405020304" pitchFamily="18" charset="0"/>
              <a:cs typeface="Times New Roman" panose="02020603050405020304" pitchFamily="18" charset="0"/>
            </a:rPr>
            <a:t>Payment</a:t>
          </a:r>
          <a:r>
            <a:rPr lang="en-IN" sz="1400" b="1" baseline="0">
              <a:solidFill>
                <a:schemeClr val="bg1"/>
              </a:solidFill>
              <a:latin typeface="Times New Roman" panose="02020603050405020304" pitchFamily="18" charset="0"/>
              <a:cs typeface="Times New Roman" panose="02020603050405020304" pitchFamily="18" charset="0"/>
            </a:rPr>
            <a:t> Mode</a:t>
          </a:r>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3</xdr:row>
      <xdr:rowOff>161926</xdr:rowOff>
    </xdr:from>
    <xdr:to>
      <xdr:col>2</xdr:col>
      <xdr:colOff>260614</xdr:colOff>
      <xdr:row>15</xdr:row>
      <xdr:rowOff>66676</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CE5B0BE1-7E3C-48F2-B5D8-CA43A1F9A1A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733426"/>
              <a:ext cx="1832239" cy="219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114300</xdr:rowOff>
    </xdr:from>
    <xdr:to>
      <xdr:col>2</xdr:col>
      <xdr:colOff>260614</xdr:colOff>
      <xdr:row>20</xdr:row>
      <xdr:rowOff>47625</xdr:rowOff>
    </xdr:to>
    <mc:AlternateContent xmlns:mc="http://schemas.openxmlformats.org/markup-compatibility/2006" xmlns:a14="http://schemas.microsoft.com/office/drawing/2010/main">
      <mc:Choice Requires="a14">
        <xdr:graphicFrame macro="">
          <xdr:nvGraphicFramePr>
            <xdr:cNvPr id="21" name="Returned 1">
              <a:extLst>
                <a:ext uri="{FF2B5EF4-FFF2-40B4-BE49-F238E27FC236}">
                  <a16:creationId xmlns:a16="http://schemas.microsoft.com/office/drawing/2014/main" id="{9A92835E-A75D-4A9E-BA9A-E73E6D6D6B7C}"/>
                </a:ext>
              </a:extLst>
            </xdr:cNvPr>
            <xdr:cNvGraphicFramePr/>
          </xdr:nvGraphicFramePr>
          <xdr:xfrm>
            <a:off x="0" y="0"/>
            <a:ext cx="0" cy="0"/>
          </xdr:xfrm>
          <a:graphic>
            <a:graphicData uri="http://schemas.microsoft.com/office/drawing/2010/slicer">
              <sle:slicer xmlns:sle="http://schemas.microsoft.com/office/drawing/2010/slicer" name="Returned 1"/>
            </a:graphicData>
          </a:graphic>
        </xdr:graphicFrame>
      </mc:Choice>
      <mc:Fallback xmlns="">
        <xdr:sp macro="" textlink="">
          <xdr:nvSpPr>
            <xdr:cNvPr id="0" name=""/>
            <xdr:cNvSpPr>
              <a:spLocks noTextEdit="1"/>
            </xdr:cNvSpPr>
          </xdr:nvSpPr>
          <xdr:spPr>
            <a:xfrm>
              <a:off x="0" y="2971800"/>
              <a:ext cx="1832239" cy="88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xdr:colOff>
      <xdr:row>4</xdr:row>
      <xdr:rowOff>0</xdr:rowOff>
    </xdr:from>
    <xdr:to>
      <xdr:col>6</xdr:col>
      <xdr:colOff>956469</xdr:colOff>
      <xdr:row>11</xdr:row>
      <xdr:rowOff>38100</xdr:rowOff>
    </xdr:to>
    <mc:AlternateContent xmlns:mc="http://schemas.openxmlformats.org/markup-compatibility/2006" xmlns:tsle="http://schemas.microsoft.com/office/drawing/2012/timeslicer">
      <mc:Choice Requires="tsle">
        <xdr:graphicFrame macro="">
          <xdr:nvGraphicFramePr>
            <xdr:cNvPr id="22" name="Order Date 1">
              <a:extLst>
                <a:ext uri="{FF2B5EF4-FFF2-40B4-BE49-F238E27FC236}">
                  <a16:creationId xmlns:a16="http://schemas.microsoft.com/office/drawing/2014/main" id="{283E4B28-B9A8-4D54-AD2C-2995F512E25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197894" y="762000"/>
              <a:ext cx="427116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0</xdr:colOff>
      <xdr:row>3</xdr:row>
      <xdr:rowOff>171450</xdr:rowOff>
    </xdr:from>
    <xdr:to>
      <xdr:col>12</xdr:col>
      <xdr:colOff>19050</xdr:colOff>
      <xdr:row>15</xdr:row>
      <xdr:rowOff>0</xdr:rowOff>
    </xdr:to>
    <xdr:graphicFrame macro="">
      <xdr:nvGraphicFramePr>
        <xdr:cNvPr id="23" name="Chart 22">
          <a:extLst>
            <a:ext uri="{FF2B5EF4-FFF2-40B4-BE49-F238E27FC236}">
              <a16:creationId xmlns:a16="http://schemas.microsoft.com/office/drawing/2014/main" id="{93CFC685-87B4-4A4A-BCFA-87A5561CD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28575</xdr:colOff>
      <xdr:row>4</xdr:row>
      <xdr:rowOff>6350</xdr:rowOff>
    </xdr:from>
    <xdr:to>
      <xdr:col>18</xdr:col>
      <xdr:colOff>57150</xdr:colOff>
      <xdr:row>14</xdr:row>
      <xdr:rowOff>6350</xdr:rowOff>
    </xdr:to>
    <xdr:graphicFrame macro="">
      <xdr:nvGraphicFramePr>
        <xdr:cNvPr id="24" name="Chart 23">
          <a:extLst>
            <a:ext uri="{FF2B5EF4-FFF2-40B4-BE49-F238E27FC236}">
              <a16:creationId xmlns:a16="http://schemas.microsoft.com/office/drawing/2014/main" id="{63C79DAB-4120-493B-8CB0-0E4113D7F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15</xdr:row>
      <xdr:rowOff>11906</xdr:rowOff>
    </xdr:from>
    <xdr:to>
      <xdr:col>12</xdr:col>
      <xdr:colOff>35718</xdr:colOff>
      <xdr:row>25</xdr:row>
      <xdr:rowOff>123826</xdr:rowOff>
    </xdr:to>
    <xdr:graphicFrame macro="">
      <xdr:nvGraphicFramePr>
        <xdr:cNvPr id="25" name="Chart 24">
          <a:extLst>
            <a:ext uri="{FF2B5EF4-FFF2-40B4-BE49-F238E27FC236}">
              <a16:creationId xmlns:a16="http://schemas.microsoft.com/office/drawing/2014/main" id="{DC43D2A8-2E03-4A4D-825E-34CC30E3F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5.456740740738" createdVersion="6" refreshedVersion="6" minRefreshableVersion="3" recordCount="100" xr:uid="{E163C12A-43E8-49D7-8FF7-078D0576DD23}">
  <cacheSource type="worksheet">
    <worksheetSource name="Table1"/>
  </cacheSource>
  <cacheFields count="11">
    <cacheField name="Order No" numFmtId="0">
      <sharedItems containsSemiMixedTypes="0" containsString="0" containsNumber="1" containsInteger="1" minValue="2001" maxValue="2100"/>
    </cacheField>
    <cacheField name="Customer Name" numFmtId="0">
      <sharedItems/>
    </cacheField>
    <cacheField name="City" numFmtId="0">
      <sharedItems count="7">
        <s v="Bengaluru"/>
        <s v="Delhi"/>
        <s v="Pune"/>
        <s v="Mumbai"/>
        <s v="Hyderabad"/>
        <s v="Chennai"/>
        <s v="Kolkata"/>
      </sharedItems>
    </cacheField>
    <cacheField name="Payment Mode" numFmtId="0">
      <sharedItems count="5">
        <s v="Net Banking"/>
        <s v="UPI"/>
        <s v="Cash"/>
        <s v="Credit Card"/>
        <s v="Debit Card"/>
      </sharedItems>
    </cacheField>
    <cacheField name="Category" numFmtId="0">
      <sharedItems count="6">
        <s v="Toys"/>
        <s v="Books"/>
        <s v="Fashion"/>
        <s v="Grocery"/>
        <s v="Home Decor"/>
        <s v="Electronics"/>
      </sharedItems>
    </cacheField>
    <cacheField name="Amount" numFmtId="0">
      <sharedItems containsSemiMixedTypes="0" containsString="0" containsNumber="1" containsInteger="1" minValue="695" maxValue="49921" count="100">
        <n v="29294"/>
        <n v="39337"/>
        <n v="46941"/>
        <n v="32023"/>
        <n v="41459"/>
        <n v="40988"/>
        <n v="13659"/>
        <n v="47652"/>
        <n v="8317"/>
        <n v="30016"/>
        <n v="15344"/>
        <n v="31572"/>
        <n v="35151"/>
        <n v="24588"/>
        <n v="34921"/>
        <n v="25286"/>
        <n v="29479"/>
        <n v="49283"/>
        <n v="20912"/>
        <n v="3578"/>
        <n v="10158"/>
        <n v="13342"/>
        <n v="22789"/>
        <n v="7880"/>
        <n v="4005"/>
        <n v="46088"/>
        <n v="30760"/>
        <n v="19806"/>
        <n v="695"/>
        <n v="19627"/>
        <n v="46058"/>
        <n v="8203"/>
        <n v="14220"/>
        <n v="7405"/>
        <n v="18366"/>
        <n v="11576"/>
        <n v="34551"/>
        <n v="26368"/>
        <n v="14342"/>
        <n v="14276"/>
        <n v="16766"/>
        <n v="43109"/>
        <n v="11989"/>
        <n v="31286"/>
        <n v="5463"/>
        <n v="43059"/>
        <n v="6443"/>
        <n v="23167"/>
        <n v="35192"/>
        <n v="22139"/>
        <n v="13429"/>
        <n v="28666"/>
        <n v="39356"/>
        <n v="18558"/>
        <n v="30840"/>
        <n v="2603"/>
        <n v="1487"/>
        <n v="2336"/>
        <n v="5409"/>
        <n v="2869"/>
        <n v="10763"/>
        <n v="40268"/>
        <n v="47366"/>
        <n v="13733"/>
        <n v="25691"/>
        <n v="35618"/>
        <n v="12014"/>
        <n v="29875"/>
        <n v="17338"/>
        <n v="49921"/>
        <n v="46359"/>
        <n v="7837"/>
        <n v="40408"/>
        <n v="32933"/>
        <n v="1200"/>
        <n v="12273"/>
        <n v="4652"/>
        <n v="43610"/>
        <n v="27305"/>
        <n v="22280"/>
        <n v="40522"/>
        <n v="32415"/>
        <n v="35421"/>
        <n v="39629"/>
        <n v="5451"/>
        <n v="44894"/>
        <n v="5606"/>
        <n v="47825"/>
        <n v="37750"/>
        <n v="29411"/>
        <n v="49031"/>
        <n v="15354"/>
        <n v="46897"/>
        <n v="33543"/>
        <n v="23356"/>
        <n v="6246"/>
        <n v="8506"/>
        <n v="12688"/>
        <n v="12976"/>
        <n v="49708"/>
      </sharedItems>
    </cacheField>
    <cacheField name="Discount (%)" numFmtId="0">
      <sharedItems containsSemiMixedTypes="0" containsString="0" containsNumber="1" containsInteger="1" minValue="0" maxValue="30"/>
    </cacheField>
    <cacheField name="Order Date" numFmtId="164">
      <sharedItems containsSemiMixedTypes="0" containsNonDate="0" containsDate="1" containsString="0" minDate="2024-01-03T22:28:56" maxDate="2025-08-28T17:55:52" count="100">
        <d v="2024-03-18T01:44:14"/>
        <d v="2025-02-27T10:40:45"/>
        <d v="2024-02-26T01:57:17"/>
        <d v="2024-11-14T23:29:43"/>
        <d v="2024-09-04T07:41:56"/>
        <d v="2025-06-22T16:27:09"/>
        <d v="2025-07-16T13:54:32"/>
        <d v="2024-04-03T17:53:59"/>
        <d v="2024-03-26T19:07:35"/>
        <d v="2024-05-07T00:17:27"/>
        <d v="2024-10-25T16:33:10"/>
        <d v="2024-11-30T00:40:59"/>
        <d v="2025-06-27T17:47:44"/>
        <d v="2024-07-23T13:35:55"/>
        <d v="2025-04-30T02:16:56"/>
        <d v="2024-08-30T01:04:55"/>
        <d v="2024-02-09T02:33:22"/>
        <d v="2024-03-19T10:15:13"/>
        <d v="2025-06-14T05:39:24"/>
        <d v="2024-08-08T15:06:44"/>
        <d v="2025-05-31T07:42:05"/>
        <d v="2024-08-17T02:36:49"/>
        <d v="2024-02-24T15:43:52"/>
        <d v="2024-12-13T23:50:19"/>
        <d v="2025-05-23T01:43:54"/>
        <d v="2024-01-03T22:28:56"/>
        <d v="2025-05-03T05:48:38"/>
        <d v="2024-10-02T09:16:36"/>
        <d v="2024-06-19T23:19:39"/>
        <d v="2025-03-19T10:32:32"/>
        <d v="2025-05-31T00:55:24"/>
        <d v="2024-05-21T17:54:44"/>
        <d v="2025-03-23T10:30:16"/>
        <d v="2024-03-19T21:15:54"/>
        <d v="2024-08-25T10:40:32"/>
        <d v="2025-08-17T03:04:30"/>
        <d v="2024-12-09T03:22:57"/>
        <d v="2024-10-13T10:29:29"/>
        <d v="2024-05-27T06:59:54"/>
        <d v="2025-07-19T17:47:01"/>
        <d v="2024-08-27T12:34:21"/>
        <d v="2025-03-07T14:49:38"/>
        <d v="2025-03-28T02:57:52"/>
        <d v="2024-04-01T23:46:55"/>
        <d v="2025-07-20T22:48:47"/>
        <d v="2024-10-08T05:28:11"/>
        <d v="2024-07-02T13:07:14"/>
        <d v="2025-06-14T12:37:35"/>
        <d v="2025-02-22T14:21:25"/>
        <d v="2024-04-14T04:28:22"/>
        <d v="2025-06-06T22:23:54"/>
        <d v="2025-02-03T03:41:28"/>
        <d v="2024-05-31T01:13:12"/>
        <d v="2024-01-13T20:15:22"/>
        <d v="2024-01-23T10:47:14"/>
        <d v="2025-02-01T15:57:44"/>
        <d v="2024-09-27T15:31:04"/>
        <d v="2024-04-23T10:07:01"/>
        <d v="2025-04-17T23:05:36"/>
        <d v="2024-02-25T07:49:34"/>
        <d v="2024-08-24T02:08:49"/>
        <d v="2025-02-19T23:22:09"/>
        <d v="2025-08-28T17:55:52"/>
        <d v="2024-04-08T05:57:37"/>
        <d v="2025-02-20T19:44:03"/>
        <d v="2024-12-17T03:38:22"/>
        <d v="2024-10-12T09:09:54"/>
        <d v="2025-05-24T17:54:55"/>
        <d v="2024-04-12T10:05:00"/>
        <d v="2025-08-04T04:36:07"/>
        <d v="2025-06-01T02:38:32"/>
        <d v="2024-10-03T21:50:12"/>
        <d v="2024-01-28T01:08:30"/>
        <d v="2025-07-09T02:22:14"/>
        <d v="2025-03-31T17:05:56"/>
        <d v="2025-03-27T07:43:09"/>
        <d v="2024-07-28T14:07:44"/>
        <d v="2024-08-19T14:59:25"/>
        <d v="2025-03-07T15:12:36"/>
        <d v="2024-06-23T04:42:13"/>
        <d v="2024-03-22T22:45:55"/>
        <d v="2024-07-13T20:56:54"/>
        <d v="2024-04-24T04:56:20"/>
        <d v="2025-06-14T01:27:05"/>
        <d v="2024-01-23T09:55:17"/>
        <d v="2025-06-16T12:15:05"/>
        <d v="2024-05-20T21:41:07"/>
        <d v="2024-05-12T11:11:58"/>
        <d v="2024-03-15T19:30:57"/>
        <d v="2025-06-08T02:31:41"/>
        <d v="2024-03-17T20:22:52"/>
        <d v="2024-08-09T09:35:12"/>
        <d v="2025-04-11T14:09:04"/>
        <d v="2025-07-28T23:08:21"/>
        <d v="2024-01-30T12:19:37"/>
        <d v="2024-05-30T21:13:24"/>
        <d v="2024-06-04T03:28:32"/>
        <d v="2024-01-10T10:59:49"/>
        <d v="2024-07-05T20:46:27"/>
        <d v="2024-11-06T01:05:40"/>
      </sharedItems>
      <fieldGroup par="10" base="7">
        <rangePr groupBy="months" startDate="2024-01-03T22:28:56" endDate="2025-08-28T17:55:52"/>
        <groupItems count="14">
          <s v="&lt;03-01-2024"/>
          <s v="Jan"/>
          <s v="Feb"/>
          <s v="Mar"/>
          <s v="Apr"/>
          <s v="May"/>
          <s v="Jun"/>
          <s v="Jul"/>
          <s v="Aug"/>
          <s v="Sep"/>
          <s v="Oct"/>
          <s v="Nov"/>
          <s v="Dec"/>
          <s v="&gt;28-08-2025"/>
        </groupItems>
      </fieldGroup>
    </cacheField>
    <cacheField name="Returned" numFmtId="0">
      <sharedItems count="2">
        <s v="No"/>
        <s v="Yes"/>
      </sharedItems>
    </cacheField>
    <cacheField name="Quarters" numFmtId="0" databaseField="0">
      <fieldGroup base="7">
        <rangePr groupBy="quarters" startDate="2024-01-03T22:28:56" endDate="2025-08-28T17:55:52"/>
        <groupItems count="6">
          <s v="&lt;03-01-2024"/>
          <s v="Qtr1"/>
          <s v="Qtr2"/>
          <s v="Qtr3"/>
          <s v="Qtr4"/>
          <s v="&gt;28-08-2025"/>
        </groupItems>
      </fieldGroup>
    </cacheField>
    <cacheField name="Years" numFmtId="0" databaseField="0">
      <fieldGroup base="7">
        <rangePr groupBy="years" startDate="2024-01-03T22:28:56" endDate="2025-08-28T17:55:52"/>
        <groupItems count="4">
          <s v="&lt;03-01-2024"/>
          <s v="2024"/>
          <s v="2025"/>
          <s v="&gt;28-08-2025"/>
        </groupItems>
      </fieldGroup>
    </cacheField>
  </cacheFields>
  <extLst>
    <ext xmlns:x14="http://schemas.microsoft.com/office/spreadsheetml/2009/9/main" uri="{725AE2AE-9491-48be-B2B4-4EB974FC3084}">
      <x14:pivotCacheDefinition pivotCacheId="1323499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2001"/>
    <s v="Customer_1"/>
    <x v="0"/>
    <x v="0"/>
    <x v="0"/>
    <x v="0"/>
    <n v="22"/>
    <x v="0"/>
    <x v="0"/>
  </r>
  <r>
    <n v="2002"/>
    <s v="Customer_2"/>
    <x v="1"/>
    <x v="0"/>
    <x v="1"/>
    <x v="1"/>
    <n v="23"/>
    <x v="1"/>
    <x v="1"/>
  </r>
  <r>
    <n v="2003"/>
    <s v="Customer_3"/>
    <x v="2"/>
    <x v="1"/>
    <x v="2"/>
    <x v="2"/>
    <n v="5"/>
    <x v="2"/>
    <x v="0"/>
  </r>
  <r>
    <n v="2004"/>
    <s v="Customer_4"/>
    <x v="3"/>
    <x v="0"/>
    <x v="1"/>
    <x v="3"/>
    <n v="23"/>
    <x v="3"/>
    <x v="1"/>
  </r>
  <r>
    <n v="2005"/>
    <s v="Customer_5"/>
    <x v="0"/>
    <x v="2"/>
    <x v="3"/>
    <x v="4"/>
    <n v="21"/>
    <x v="4"/>
    <x v="0"/>
  </r>
  <r>
    <n v="2006"/>
    <s v="Customer_6"/>
    <x v="3"/>
    <x v="2"/>
    <x v="0"/>
    <x v="5"/>
    <n v="5"/>
    <x v="5"/>
    <x v="0"/>
  </r>
  <r>
    <n v="2007"/>
    <s v="Customer_7"/>
    <x v="4"/>
    <x v="1"/>
    <x v="1"/>
    <x v="6"/>
    <n v="21"/>
    <x v="6"/>
    <x v="1"/>
  </r>
  <r>
    <n v="2008"/>
    <s v="Customer_8"/>
    <x v="4"/>
    <x v="2"/>
    <x v="4"/>
    <x v="7"/>
    <n v="29"/>
    <x v="7"/>
    <x v="0"/>
  </r>
  <r>
    <n v="2009"/>
    <s v="Customer_9"/>
    <x v="1"/>
    <x v="2"/>
    <x v="1"/>
    <x v="8"/>
    <n v="8"/>
    <x v="8"/>
    <x v="1"/>
  </r>
  <r>
    <n v="2010"/>
    <s v="Customer_10"/>
    <x v="3"/>
    <x v="2"/>
    <x v="0"/>
    <x v="9"/>
    <n v="10"/>
    <x v="9"/>
    <x v="0"/>
  </r>
  <r>
    <n v="2011"/>
    <s v="Customer_11"/>
    <x v="4"/>
    <x v="1"/>
    <x v="4"/>
    <x v="10"/>
    <n v="24"/>
    <x v="10"/>
    <x v="0"/>
  </r>
  <r>
    <n v="2012"/>
    <s v="Customer_12"/>
    <x v="0"/>
    <x v="3"/>
    <x v="0"/>
    <x v="11"/>
    <n v="30"/>
    <x v="11"/>
    <x v="0"/>
  </r>
  <r>
    <n v="2013"/>
    <s v="Customer_13"/>
    <x v="3"/>
    <x v="3"/>
    <x v="5"/>
    <x v="12"/>
    <n v="10"/>
    <x v="12"/>
    <x v="1"/>
  </r>
  <r>
    <n v="2014"/>
    <s v="Customer_14"/>
    <x v="3"/>
    <x v="0"/>
    <x v="5"/>
    <x v="13"/>
    <n v="7"/>
    <x v="13"/>
    <x v="1"/>
  </r>
  <r>
    <n v="2015"/>
    <s v="Customer_15"/>
    <x v="3"/>
    <x v="4"/>
    <x v="2"/>
    <x v="14"/>
    <n v="6"/>
    <x v="14"/>
    <x v="0"/>
  </r>
  <r>
    <n v="2016"/>
    <s v="Customer_16"/>
    <x v="4"/>
    <x v="2"/>
    <x v="2"/>
    <x v="15"/>
    <n v="5"/>
    <x v="15"/>
    <x v="1"/>
  </r>
  <r>
    <n v="2017"/>
    <s v="Customer_17"/>
    <x v="0"/>
    <x v="3"/>
    <x v="3"/>
    <x v="16"/>
    <n v="11"/>
    <x v="16"/>
    <x v="0"/>
  </r>
  <r>
    <n v="2018"/>
    <s v="Customer_18"/>
    <x v="1"/>
    <x v="2"/>
    <x v="4"/>
    <x v="17"/>
    <n v="12"/>
    <x v="17"/>
    <x v="1"/>
  </r>
  <r>
    <n v="2019"/>
    <s v="Customer_19"/>
    <x v="4"/>
    <x v="1"/>
    <x v="2"/>
    <x v="18"/>
    <n v="20"/>
    <x v="18"/>
    <x v="1"/>
  </r>
  <r>
    <n v="2020"/>
    <s v="Customer_20"/>
    <x v="0"/>
    <x v="0"/>
    <x v="1"/>
    <x v="19"/>
    <n v="24"/>
    <x v="19"/>
    <x v="1"/>
  </r>
  <r>
    <n v="2021"/>
    <s v="Customer_21"/>
    <x v="2"/>
    <x v="0"/>
    <x v="1"/>
    <x v="20"/>
    <n v="1"/>
    <x v="20"/>
    <x v="1"/>
  </r>
  <r>
    <n v="2022"/>
    <s v="Customer_22"/>
    <x v="2"/>
    <x v="4"/>
    <x v="1"/>
    <x v="21"/>
    <n v="25"/>
    <x v="21"/>
    <x v="1"/>
  </r>
  <r>
    <n v="2023"/>
    <s v="Customer_23"/>
    <x v="5"/>
    <x v="1"/>
    <x v="3"/>
    <x v="22"/>
    <n v="27"/>
    <x v="22"/>
    <x v="1"/>
  </r>
  <r>
    <n v="2024"/>
    <s v="Customer_24"/>
    <x v="0"/>
    <x v="3"/>
    <x v="0"/>
    <x v="23"/>
    <n v="3"/>
    <x v="23"/>
    <x v="0"/>
  </r>
  <r>
    <n v="2025"/>
    <s v="Customer_25"/>
    <x v="1"/>
    <x v="0"/>
    <x v="1"/>
    <x v="24"/>
    <n v="23"/>
    <x v="24"/>
    <x v="0"/>
  </r>
  <r>
    <n v="2026"/>
    <s v="Customer_26"/>
    <x v="2"/>
    <x v="2"/>
    <x v="0"/>
    <x v="25"/>
    <n v="21"/>
    <x v="25"/>
    <x v="0"/>
  </r>
  <r>
    <n v="2027"/>
    <s v="Customer_27"/>
    <x v="6"/>
    <x v="0"/>
    <x v="5"/>
    <x v="26"/>
    <n v="22"/>
    <x v="26"/>
    <x v="0"/>
  </r>
  <r>
    <n v="2028"/>
    <s v="Customer_28"/>
    <x v="6"/>
    <x v="0"/>
    <x v="0"/>
    <x v="27"/>
    <n v="26"/>
    <x v="27"/>
    <x v="0"/>
  </r>
  <r>
    <n v="2029"/>
    <s v="Customer_29"/>
    <x v="5"/>
    <x v="2"/>
    <x v="5"/>
    <x v="28"/>
    <n v="14"/>
    <x v="28"/>
    <x v="1"/>
  </r>
  <r>
    <n v="2030"/>
    <s v="Customer_30"/>
    <x v="3"/>
    <x v="4"/>
    <x v="3"/>
    <x v="29"/>
    <n v="23"/>
    <x v="29"/>
    <x v="0"/>
  </r>
  <r>
    <n v="2031"/>
    <s v="Customer_31"/>
    <x v="0"/>
    <x v="4"/>
    <x v="3"/>
    <x v="30"/>
    <n v="4"/>
    <x v="30"/>
    <x v="0"/>
  </r>
  <r>
    <n v="2032"/>
    <s v="Customer_32"/>
    <x v="2"/>
    <x v="2"/>
    <x v="4"/>
    <x v="31"/>
    <n v="21"/>
    <x v="31"/>
    <x v="1"/>
  </r>
  <r>
    <n v="2033"/>
    <s v="Customer_33"/>
    <x v="2"/>
    <x v="3"/>
    <x v="3"/>
    <x v="32"/>
    <n v="11"/>
    <x v="32"/>
    <x v="1"/>
  </r>
  <r>
    <n v="2034"/>
    <s v="Customer_34"/>
    <x v="2"/>
    <x v="3"/>
    <x v="4"/>
    <x v="33"/>
    <n v="30"/>
    <x v="33"/>
    <x v="0"/>
  </r>
  <r>
    <n v="2035"/>
    <s v="Customer_35"/>
    <x v="3"/>
    <x v="2"/>
    <x v="5"/>
    <x v="34"/>
    <n v="25"/>
    <x v="34"/>
    <x v="0"/>
  </r>
  <r>
    <n v="2036"/>
    <s v="Customer_36"/>
    <x v="5"/>
    <x v="3"/>
    <x v="4"/>
    <x v="35"/>
    <n v="0"/>
    <x v="35"/>
    <x v="1"/>
  </r>
  <r>
    <n v="2037"/>
    <s v="Customer_37"/>
    <x v="5"/>
    <x v="0"/>
    <x v="0"/>
    <x v="36"/>
    <n v="9"/>
    <x v="36"/>
    <x v="0"/>
  </r>
  <r>
    <n v="2038"/>
    <s v="Customer_38"/>
    <x v="1"/>
    <x v="1"/>
    <x v="4"/>
    <x v="37"/>
    <n v="5"/>
    <x v="37"/>
    <x v="0"/>
  </r>
  <r>
    <n v="2039"/>
    <s v="Customer_39"/>
    <x v="3"/>
    <x v="0"/>
    <x v="0"/>
    <x v="38"/>
    <n v="22"/>
    <x v="38"/>
    <x v="1"/>
  </r>
  <r>
    <n v="2040"/>
    <s v="Customer_40"/>
    <x v="3"/>
    <x v="1"/>
    <x v="0"/>
    <x v="39"/>
    <n v="15"/>
    <x v="39"/>
    <x v="1"/>
  </r>
  <r>
    <n v="2041"/>
    <s v="Customer_41"/>
    <x v="3"/>
    <x v="4"/>
    <x v="1"/>
    <x v="40"/>
    <n v="24"/>
    <x v="40"/>
    <x v="0"/>
  </r>
  <r>
    <n v="2042"/>
    <s v="Customer_42"/>
    <x v="6"/>
    <x v="0"/>
    <x v="4"/>
    <x v="41"/>
    <n v="0"/>
    <x v="41"/>
    <x v="1"/>
  </r>
  <r>
    <n v="2043"/>
    <s v="Customer_43"/>
    <x v="3"/>
    <x v="0"/>
    <x v="3"/>
    <x v="42"/>
    <n v="15"/>
    <x v="42"/>
    <x v="0"/>
  </r>
  <r>
    <n v="2044"/>
    <s v="Customer_44"/>
    <x v="5"/>
    <x v="0"/>
    <x v="0"/>
    <x v="43"/>
    <n v="0"/>
    <x v="43"/>
    <x v="1"/>
  </r>
  <r>
    <n v="2045"/>
    <s v="Customer_45"/>
    <x v="1"/>
    <x v="4"/>
    <x v="1"/>
    <x v="44"/>
    <n v="5"/>
    <x v="44"/>
    <x v="1"/>
  </r>
  <r>
    <n v="2046"/>
    <s v="Customer_46"/>
    <x v="3"/>
    <x v="3"/>
    <x v="5"/>
    <x v="45"/>
    <n v="14"/>
    <x v="45"/>
    <x v="1"/>
  </r>
  <r>
    <n v="2047"/>
    <s v="Customer_47"/>
    <x v="4"/>
    <x v="3"/>
    <x v="3"/>
    <x v="46"/>
    <n v="8"/>
    <x v="46"/>
    <x v="1"/>
  </r>
  <r>
    <n v="2048"/>
    <s v="Customer_48"/>
    <x v="2"/>
    <x v="2"/>
    <x v="0"/>
    <x v="47"/>
    <n v="11"/>
    <x v="47"/>
    <x v="0"/>
  </r>
  <r>
    <n v="2049"/>
    <s v="Customer_49"/>
    <x v="1"/>
    <x v="2"/>
    <x v="5"/>
    <x v="48"/>
    <n v="27"/>
    <x v="48"/>
    <x v="0"/>
  </r>
  <r>
    <n v="2050"/>
    <s v="Customer_50"/>
    <x v="0"/>
    <x v="1"/>
    <x v="4"/>
    <x v="49"/>
    <n v="5"/>
    <x v="49"/>
    <x v="0"/>
  </r>
  <r>
    <n v="2051"/>
    <s v="Customer_51"/>
    <x v="4"/>
    <x v="4"/>
    <x v="0"/>
    <x v="50"/>
    <n v="17"/>
    <x v="50"/>
    <x v="0"/>
  </r>
  <r>
    <n v="2052"/>
    <s v="Customer_52"/>
    <x v="1"/>
    <x v="2"/>
    <x v="2"/>
    <x v="51"/>
    <n v="0"/>
    <x v="51"/>
    <x v="1"/>
  </r>
  <r>
    <n v="2053"/>
    <s v="Customer_53"/>
    <x v="2"/>
    <x v="4"/>
    <x v="1"/>
    <x v="52"/>
    <n v="16"/>
    <x v="52"/>
    <x v="0"/>
  </r>
  <r>
    <n v="2054"/>
    <s v="Customer_54"/>
    <x v="1"/>
    <x v="1"/>
    <x v="4"/>
    <x v="53"/>
    <n v="16"/>
    <x v="53"/>
    <x v="1"/>
  </r>
  <r>
    <n v="2055"/>
    <s v="Customer_55"/>
    <x v="4"/>
    <x v="2"/>
    <x v="1"/>
    <x v="54"/>
    <n v="23"/>
    <x v="54"/>
    <x v="1"/>
  </r>
  <r>
    <n v="2056"/>
    <s v="Customer_56"/>
    <x v="2"/>
    <x v="2"/>
    <x v="3"/>
    <x v="55"/>
    <n v="26"/>
    <x v="55"/>
    <x v="1"/>
  </r>
  <r>
    <n v="2057"/>
    <s v="Customer_57"/>
    <x v="4"/>
    <x v="4"/>
    <x v="4"/>
    <x v="56"/>
    <n v="21"/>
    <x v="56"/>
    <x v="1"/>
  </r>
  <r>
    <n v="2058"/>
    <s v="Customer_58"/>
    <x v="6"/>
    <x v="3"/>
    <x v="4"/>
    <x v="57"/>
    <n v="4"/>
    <x v="57"/>
    <x v="0"/>
  </r>
  <r>
    <n v="2059"/>
    <s v="Customer_59"/>
    <x v="1"/>
    <x v="3"/>
    <x v="3"/>
    <x v="58"/>
    <n v="6"/>
    <x v="58"/>
    <x v="0"/>
  </r>
  <r>
    <n v="2060"/>
    <s v="Customer_60"/>
    <x v="6"/>
    <x v="1"/>
    <x v="0"/>
    <x v="59"/>
    <n v="27"/>
    <x v="59"/>
    <x v="1"/>
  </r>
  <r>
    <n v="2061"/>
    <s v="Customer_61"/>
    <x v="0"/>
    <x v="4"/>
    <x v="2"/>
    <x v="60"/>
    <n v="26"/>
    <x v="60"/>
    <x v="1"/>
  </r>
  <r>
    <n v="2062"/>
    <s v="Customer_62"/>
    <x v="2"/>
    <x v="2"/>
    <x v="3"/>
    <x v="61"/>
    <n v="6"/>
    <x v="61"/>
    <x v="1"/>
  </r>
  <r>
    <n v="2063"/>
    <s v="Customer_63"/>
    <x v="1"/>
    <x v="3"/>
    <x v="3"/>
    <x v="62"/>
    <n v="11"/>
    <x v="62"/>
    <x v="1"/>
  </r>
  <r>
    <n v="2064"/>
    <s v="Customer_64"/>
    <x v="5"/>
    <x v="1"/>
    <x v="3"/>
    <x v="63"/>
    <n v="1"/>
    <x v="63"/>
    <x v="0"/>
  </r>
  <r>
    <n v="2065"/>
    <s v="Customer_65"/>
    <x v="6"/>
    <x v="1"/>
    <x v="4"/>
    <x v="64"/>
    <n v="10"/>
    <x v="64"/>
    <x v="1"/>
  </r>
  <r>
    <n v="2066"/>
    <s v="Customer_66"/>
    <x v="0"/>
    <x v="2"/>
    <x v="4"/>
    <x v="65"/>
    <n v="12"/>
    <x v="65"/>
    <x v="1"/>
  </r>
  <r>
    <n v="2067"/>
    <s v="Customer_67"/>
    <x v="6"/>
    <x v="1"/>
    <x v="2"/>
    <x v="66"/>
    <n v="7"/>
    <x v="66"/>
    <x v="0"/>
  </r>
  <r>
    <n v="2068"/>
    <s v="Customer_68"/>
    <x v="3"/>
    <x v="0"/>
    <x v="3"/>
    <x v="67"/>
    <n v="4"/>
    <x v="67"/>
    <x v="0"/>
  </r>
  <r>
    <n v="2069"/>
    <s v="Customer_69"/>
    <x v="5"/>
    <x v="4"/>
    <x v="1"/>
    <x v="68"/>
    <n v="4"/>
    <x v="68"/>
    <x v="1"/>
  </r>
  <r>
    <n v="2070"/>
    <s v="Customer_70"/>
    <x v="6"/>
    <x v="0"/>
    <x v="3"/>
    <x v="69"/>
    <n v="3"/>
    <x v="69"/>
    <x v="1"/>
  </r>
  <r>
    <n v="2071"/>
    <s v="Customer_71"/>
    <x v="2"/>
    <x v="0"/>
    <x v="1"/>
    <x v="70"/>
    <n v="5"/>
    <x v="70"/>
    <x v="1"/>
  </r>
  <r>
    <n v="2072"/>
    <s v="Customer_72"/>
    <x v="0"/>
    <x v="4"/>
    <x v="2"/>
    <x v="71"/>
    <n v="1"/>
    <x v="71"/>
    <x v="1"/>
  </r>
  <r>
    <n v="2073"/>
    <s v="Customer_73"/>
    <x v="6"/>
    <x v="3"/>
    <x v="5"/>
    <x v="72"/>
    <n v="12"/>
    <x v="72"/>
    <x v="1"/>
  </r>
  <r>
    <n v="2074"/>
    <s v="Customer_74"/>
    <x v="2"/>
    <x v="3"/>
    <x v="4"/>
    <x v="73"/>
    <n v="20"/>
    <x v="73"/>
    <x v="1"/>
  </r>
  <r>
    <n v="2075"/>
    <s v="Customer_75"/>
    <x v="3"/>
    <x v="0"/>
    <x v="2"/>
    <x v="74"/>
    <n v="18"/>
    <x v="74"/>
    <x v="0"/>
  </r>
  <r>
    <n v="2076"/>
    <s v="Customer_76"/>
    <x v="6"/>
    <x v="2"/>
    <x v="5"/>
    <x v="75"/>
    <n v="27"/>
    <x v="75"/>
    <x v="0"/>
  </r>
  <r>
    <n v="2077"/>
    <s v="Customer_77"/>
    <x v="2"/>
    <x v="1"/>
    <x v="5"/>
    <x v="76"/>
    <n v="24"/>
    <x v="76"/>
    <x v="1"/>
  </r>
  <r>
    <n v="2078"/>
    <s v="Customer_78"/>
    <x v="5"/>
    <x v="3"/>
    <x v="0"/>
    <x v="77"/>
    <n v="25"/>
    <x v="77"/>
    <x v="0"/>
  </r>
  <r>
    <n v="2079"/>
    <s v="Customer_79"/>
    <x v="3"/>
    <x v="4"/>
    <x v="1"/>
    <x v="78"/>
    <n v="6"/>
    <x v="78"/>
    <x v="0"/>
  </r>
  <r>
    <n v="2080"/>
    <s v="Customer_80"/>
    <x v="6"/>
    <x v="3"/>
    <x v="0"/>
    <x v="79"/>
    <n v="30"/>
    <x v="79"/>
    <x v="1"/>
  </r>
  <r>
    <n v="2081"/>
    <s v="Customer_81"/>
    <x v="1"/>
    <x v="2"/>
    <x v="3"/>
    <x v="80"/>
    <n v="18"/>
    <x v="80"/>
    <x v="1"/>
  </r>
  <r>
    <n v="2082"/>
    <s v="Customer_82"/>
    <x v="1"/>
    <x v="1"/>
    <x v="3"/>
    <x v="81"/>
    <n v="14"/>
    <x v="81"/>
    <x v="1"/>
  </r>
  <r>
    <n v="2083"/>
    <s v="Customer_83"/>
    <x v="3"/>
    <x v="0"/>
    <x v="5"/>
    <x v="82"/>
    <n v="12"/>
    <x v="82"/>
    <x v="1"/>
  </r>
  <r>
    <n v="2084"/>
    <s v="Customer_84"/>
    <x v="1"/>
    <x v="0"/>
    <x v="2"/>
    <x v="83"/>
    <n v="16"/>
    <x v="83"/>
    <x v="1"/>
  </r>
  <r>
    <n v="2085"/>
    <s v="Customer_85"/>
    <x v="5"/>
    <x v="0"/>
    <x v="0"/>
    <x v="84"/>
    <n v="1"/>
    <x v="84"/>
    <x v="0"/>
  </r>
  <r>
    <n v="2086"/>
    <s v="Customer_86"/>
    <x v="4"/>
    <x v="0"/>
    <x v="4"/>
    <x v="85"/>
    <n v="2"/>
    <x v="85"/>
    <x v="0"/>
  </r>
  <r>
    <n v="2087"/>
    <s v="Customer_87"/>
    <x v="4"/>
    <x v="0"/>
    <x v="1"/>
    <x v="86"/>
    <n v="19"/>
    <x v="86"/>
    <x v="0"/>
  </r>
  <r>
    <n v="2088"/>
    <s v="Customer_88"/>
    <x v="0"/>
    <x v="2"/>
    <x v="0"/>
    <x v="87"/>
    <n v="12"/>
    <x v="87"/>
    <x v="1"/>
  </r>
  <r>
    <n v="2089"/>
    <s v="Customer_89"/>
    <x v="3"/>
    <x v="1"/>
    <x v="1"/>
    <x v="88"/>
    <n v="12"/>
    <x v="88"/>
    <x v="1"/>
  </r>
  <r>
    <n v="2090"/>
    <s v="Customer_90"/>
    <x v="5"/>
    <x v="3"/>
    <x v="5"/>
    <x v="89"/>
    <n v="9"/>
    <x v="89"/>
    <x v="0"/>
  </r>
  <r>
    <n v="2091"/>
    <s v="Customer_91"/>
    <x v="0"/>
    <x v="0"/>
    <x v="2"/>
    <x v="90"/>
    <n v="16"/>
    <x v="90"/>
    <x v="0"/>
  </r>
  <r>
    <n v="2092"/>
    <s v="Customer_92"/>
    <x v="6"/>
    <x v="2"/>
    <x v="4"/>
    <x v="91"/>
    <n v="28"/>
    <x v="91"/>
    <x v="0"/>
  </r>
  <r>
    <n v="2093"/>
    <s v="Customer_93"/>
    <x v="5"/>
    <x v="1"/>
    <x v="5"/>
    <x v="92"/>
    <n v="29"/>
    <x v="92"/>
    <x v="1"/>
  </r>
  <r>
    <n v="2094"/>
    <s v="Customer_94"/>
    <x v="1"/>
    <x v="1"/>
    <x v="2"/>
    <x v="93"/>
    <n v="6"/>
    <x v="93"/>
    <x v="0"/>
  </r>
  <r>
    <n v="2095"/>
    <s v="Customer_95"/>
    <x v="3"/>
    <x v="4"/>
    <x v="0"/>
    <x v="94"/>
    <n v="27"/>
    <x v="94"/>
    <x v="0"/>
  </r>
  <r>
    <n v="2096"/>
    <s v="Customer_96"/>
    <x v="6"/>
    <x v="3"/>
    <x v="0"/>
    <x v="95"/>
    <n v="10"/>
    <x v="95"/>
    <x v="0"/>
  </r>
  <r>
    <n v="2097"/>
    <s v="Customer_97"/>
    <x v="2"/>
    <x v="1"/>
    <x v="2"/>
    <x v="96"/>
    <n v="21"/>
    <x v="96"/>
    <x v="0"/>
  </r>
  <r>
    <n v="2098"/>
    <s v="Customer_98"/>
    <x v="6"/>
    <x v="0"/>
    <x v="2"/>
    <x v="97"/>
    <n v="1"/>
    <x v="97"/>
    <x v="0"/>
  </r>
  <r>
    <n v="2099"/>
    <s v="Customer_99"/>
    <x v="4"/>
    <x v="2"/>
    <x v="5"/>
    <x v="98"/>
    <n v="22"/>
    <x v="98"/>
    <x v="1"/>
  </r>
  <r>
    <n v="2100"/>
    <s v="Customer_100"/>
    <x v="5"/>
    <x v="4"/>
    <x v="5"/>
    <x v="99"/>
    <n v="19"/>
    <x v="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837A54-17F4-425D-940D-AA0BF3570A7E}" name="PivotTable1" cacheId="2" dataOnRows="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B9" firstHeaderRow="1" firstDataRow="1" firstDataCol="1"/>
  <pivotFields count="11">
    <pivotField showAll="0"/>
    <pivotField showAll="0"/>
    <pivotField dataField="1" showAll="0">
      <items count="8">
        <item x="0"/>
        <item x="5"/>
        <item x="1"/>
        <item x="4"/>
        <item x="6"/>
        <item x="3"/>
        <item x="2"/>
        <item t="default"/>
      </items>
    </pivotField>
    <pivotField dataField="1" showAll="0">
      <items count="6">
        <item x="2"/>
        <item x="3"/>
        <item x="4"/>
        <item x="0"/>
        <item x="1"/>
        <item t="default"/>
      </items>
    </pivotField>
    <pivotField showAll="0"/>
    <pivotField dataField="1" showAll="0">
      <items count="101">
        <item x="28"/>
        <item x="74"/>
        <item x="56"/>
        <item x="57"/>
        <item x="55"/>
        <item x="59"/>
        <item x="19"/>
        <item x="24"/>
        <item x="76"/>
        <item x="58"/>
        <item x="84"/>
        <item x="44"/>
        <item x="86"/>
        <item x="95"/>
        <item x="46"/>
        <item x="33"/>
        <item x="71"/>
        <item x="23"/>
        <item x="31"/>
        <item x="8"/>
        <item x="96"/>
        <item x="20"/>
        <item x="60"/>
        <item x="35"/>
        <item x="42"/>
        <item x="66"/>
        <item x="75"/>
        <item x="97"/>
        <item x="98"/>
        <item x="21"/>
        <item x="50"/>
        <item x="6"/>
        <item x="63"/>
        <item x="32"/>
        <item x="39"/>
        <item x="38"/>
        <item x="10"/>
        <item x="91"/>
        <item x="40"/>
        <item x="68"/>
        <item x="34"/>
        <item x="53"/>
        <item x="29"/>
        <item x="27"/>
        <item x="18"/>
        <item x="49"/>
        <item x="79"/>
        <item x="22"/>
        <item x="47"/>
        <item x="94"/>
        <item x="13"/>
        <item x="15"/>
        <item x="64"/>
        <item x="37"/>
        <item x="78"/>
        <item x="51"/>
        <item x="0"/>
        <item x="89"/>
        <item x="16"/>
        <item x="67"/>
        <item x="9"/>
        <item x="26"/>
        <item x="54"/>
        <item x="43"/>
        <item x="11"/>
        <item x="3"/>
        <item x="81"/>
        <item x="73"/>
        <item x="93"/>
        <item x="36"/>
        <item x="14"/>
        <item x="12"/>
        <item x="48"/>
        <item x="82"/>
        <item x="65"/>
        <item x="88"/>
        <item x="1"/>
        <item x="52"/>
        <item x="83"/>
        <item x="61"/>
        <item x="72"/>
        <item x="80"/>
        <item x="5"/>
        <item x="4"/>
        <item x="45"/>
        <item x="41"/>
        <item x="77"/>
        <item x="85"/>
        <item x="30"/>
        <item x="25"/>
        <item x="70"/>
        <item x="92"/>
        <item x="2"/>
        <item x="62"/>
        <item x="7"/>
        <item x="87"/>
        <item x="90"/>
        <item x="17"/>
        <item x="99"/>
        <item x="69"/>
        <item t="default"/>
      </items>
    </pivotField>
    <pivotField showAll="0"/>
    <pivotField dataField="1" numFmtId="164" showAll="0">
      <items count="15">
        <item x="0"/>
        <item x="1"/>
        <item x="2"/>
        <item x="3"/>
        <item x="4"/>
        <item x="5"/>
        <item x="6"/>
        <item x="7"/>
        <item x="8"/>
        <item x="9"/>
        <item x="10"/>
        <item x="11"/>
        <item x="12"/>
        <item x="13"/>
        <item t="default"/>
      </items>
    </pivotField>
    <pivotField showAll="0">
      <items count="3">
        <item h="1" x="0"/>
        <item x="1"/>
        <item t="default"/>
      </items>
    </pivotField>
    <pivotField dataField="1" showAll="0">
      <items count="7">
        <item sd="0" x="0"/>
        <item sd="0" x="1"/>
        <item sd="0" x="2"/>
        <item sd="0" x="3"/>
        <item sd="0" x="4"/>
        <item sd="0" x="5"/>
        <item t="default"/>
      </items>
    </pivotField>
    <pivotField dataField="1" showAll="0">
      <items count="5">
        <item sd="0" x="0"/>
        <item sd="0" x="1"/>
        <item sd="0" x="2"/>
        <item sd="0" x="3"/>
        <item t="default"/>
      </items>
    </pivotField>
  </pivotFields>
  <rowFields count="1">
    <field x="-2"/>
  </rowFields>
  <rowItems count="6">
    <i>
      <x/>
    </i>
    <i i="1">
      <x v="1"/>
    </i>
    <i i="2">
      <x v="2"/>
    </i>
    <i i="3">
      <x v="3"/>
    </i>
    <i i="4">
      <x v="4"/>
    </i>
    <i i="5">
      <x v="5"/>
    </i>
  </rowItems>
  <colItems count="1">
    <i/>
  </colItems>
  <dataFields count="6">
    <dataField name="Count of Years" fld="10" subtotal="count" baseField="0" baseItem="0"/>
    <dataField name="Count of Quarters" fld="9" subtotal="count" baseField="0" baseItem="0"/>
    <dataField name="Count of Order Date" fld="7" subtotal="count" baseField="0" baseItem="0"/>
    <dataField name="Count of City" fld="2" subtotal="count" baseField="0" baseItem="0"/>
    <dataField name="Count of Payment Mode" fld="3" subtotal="count" baseField="0" baseItem="0"/>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6E9166-1039-4F25-A22A-B56CBADAD1CB}" name="PivotTable2"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D9" firstHeaderRow="0" firstDataRow="1" firstDataCol="1"/>
  <pivotFields count="11">
    <pivotField dataField="1" showAll="0"/>
    <pivotField showAll="0"/>
    <pivotField showAll="0"/>
    <pivotField showAll="0">
      <items count="6">
        <item x="2"/>
        <item x="3"/>
        <item x="4"/>
        <item x="0"/>
        <item x="1"/>
        <item t="default"/>
      </items>
    </pivotField>
    <pivotField axis="axisRow" showAll="0">
      <items count="7">
        <item x="1"/>
        <item x="5"/>
        <item x="2"/>
        <item x="3"/>
        <item x="4"/>
        <item x="0"/>
        <item t="default"/>
      </items>
    </pivotField>
    <pivotField dataField="1" showAll="0"/>
    <pivotField dataField="1" showAll="0"/>
    <pivotField numFmtId="164" showAll="0"/>
    <pivotField showAll="0"/>
    <pivotField showAll="0" defaultSubtotal="0"/>
    <pivotField showAll="0" defaultSubtotal="0"/>
  </pivotFields>
  <rowFields count="1">
    <field x="4"/>
  </rowFields>
  <rowItems count="6">
    <i>
      <x/>
    </i>
    <i>
      <x v="1"/>
    </i>
    <i>
      <x v="2"/>
    </i>
    <i>
      <x v="3"/>
    </i>
    <i>
      <x v="4"/>
    </i>
    <i>
      <x v="5"/>
    </i>
  </rowItems>
  <colFields count="1">
    <field x="-2"/>
  </colFields>
  <colItems count="3">
    <i>
      <x/>
    </i>
    <i i="1">
      <x v="1"/>
    </i>
    <i i="2">
      <x v="2"/>
    </i>
  </colItems>
  <dataFields count="3">
    <dataField name="Sum of Order No" fld="0" baseField="0" baseItem="0"/>
    <dataField name="Sum of Discount (%)" fld="6" baseField="0" baseItem="0"/>
    <dataField name="Sum of Amount" fld="5" baseField="0" baseItem="0"/>
  </dataFields>
  <formats count="2">
    <format dxfId="3">
      <pivotArea collapsedLevelsAreSubtotals="1" fieldPosition="0">
        <references count="2">
          <reference field="4294967294" count="1" selected="0">
            <x v="1"/>
          </reference>
          <reference field="4" count="0"/>
        </references>
      </pivotArea>
    </format>
    <format dxfId="2">
      <pivotArea collapsedLevelsAreSubtotals="1" fieldPosition="0">
        <references count="2">
          <reference field="4294967294" count="1" selected="0">
            <x v="2"/>
          </reference>
          <reference field="4" count="0"/>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334E54-0A9F-42FC-A3B6-92C2E6CA114C}"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3" firstHeaderRow="1" firstDataRow="1" firstDataCol="1"/>
  <pivotFields count="11">
    <pivotField showAll="0"/>
    <pivotField showAll="0"/>
    <pivotField showAll="0"/>
    <pivotField showAll="0"/>
    <pivotField showAll="0"/>
    <pivotField showAll="0"/>
    <pivotField dataField="1" showAll="0"/>
    <pivotField numFmtId="164" showAll="0"/>
    <pivotField showAll="0"/>
    <pivotField axis="axisRow" showAll="0" defaultSubtotal="0">
      <items count="6">
        <item x="0"/>
        <item x="1"/>
        <item x="2"/>
        <item x="3"/>
        <item x="4"/>
        <item x="5"/>
      </items>
    </pivotField>
    <pivotField axis="axisRow" showAll="0" defaultSubtotal="0">
      <items count="4">
        <item x="0"/>
        <item x="1"/>
        <item x="2"/>
        <item x="3"/>
      </items>
    </pivotField>
  </pivotFields>
  <rowFields count="2">
    <field x="10"/>
    <field x="9"/>
  </rowFields>
  <rowItems count="10">
    <i>
      <x v="1"/>
    </i>
    <i r="1">
      <x v="1"/>
    </i>
    <i r="1">
      <x v="2"/>
    </i>
    <i r="1">
      <x v="3"/>
    </i>
    <i r="1">
      <x v="4"/>
    </i>
    <i>
      <x v="2"/>
    </i>
    <i r="1">
      <x v="1"/>
    </i>
    <i r="1">
      <x v="2"/>
    </i>
    <i r="1">
      <x v="3"/>
    </i>
    <i t="grand">
      <x/>
    </i>
  </rowItems>
  <colItems count="1">
    <i/>
  </colItems>
  <dataFields count="1">
    <dataField name="Sum of Discount (%)" fld="6"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463A28-B77B-4A29-A1CE-76FB7736DFD1}" name="PivotTable4"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8">
  <location ref="A3:C5" firstHeaderRow="0" firstDataRow="1" firstDataCol="1"/>
  <pivotFields count="11">
    <pivotField showAll="0"/>
    <pivotField showAll="0"/>
    <pivotField showAll="0"/>
    <pivotField showAll="0"/>
    <pivotField showAll="0"/>
    <pivotField dataField="1" showAll="0"/>
    <pivotField dataField="1" showAll="0"/>
    <pivotField numFmtId="164" showAll="0"/>
    <pivotField showAll="0"/>
    <pivotField showAll="0" defaultSubtotal="0"/>
    <pivotField axis="axisRow" showAll="0" defaultSubtotal="0">
      <items count="4">
        <item x="0"/>
        <item x="1"/>
        <item x="2"/>
        <item x="3"/>
      </items>
    </pivotField>
  </pivotFields>
  <rowFields count="1">
    <field x="10"/>
  </rowFields>
  <rowItems count="2">
    <i>
      <x v="1"/>
    </i>
    <i>
      <x v="2"/>
    </i>
  </rowItems>
  <colFields count="1">
    <field x="-2"/>
  </colFields>
  <colItems count="2">
    <i>
      <x/>
    </i>
    <i i="1">
      <x v="1"/>
    </i>
  </colItems>
  <dataFields count="2">
    <dataField name="Sum of Discount (%)" fld="6" baseField="0" baseItem="0"/>
    <dataField name="Sum of Amount" fld="5"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C0C994-ACC3-4ED7-B612-6D28370EA99C}"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11">
    <pivotField showAll="0"/>
    <pivotField showAll="0"/>
    <pivotField showAll="0"/>
    <pivotField showAll="0"/>
    <pivotField showAll="0"/>
    <pivotField dataField="1" showAll="0"/>
    <pivotField showAll="0"/>
    <pivotField numFmtId="164" showAll="0"/>
    <pivotField showAll="0"/>
    <pivotField showAll="0" defaultSubtotal="0"/>
    <pivotField axis="axisRow" showAll="0" defaultSubtotal="0">
      <items count="4">
        <item x="0"/>
        <item x="1"/>
        <item x="2"/>
        <item x="3"/>
      </items>
    </pivotField>
  </pivotFields>
  <rowFields count="1">
    <field x="10"/>
  </rowFields>
  <rowItems count="3">
    <i>
      <x v="1"/>
    </i>
    <i>
      <x v="2"/>
    </i>
    <i t="grand">
      <x/>
    </i>
  </rowItems>
  <colItems count="1">
    <i/>
  </colItems>
  <dataFields count="1">
    <dataField name="Sum of Amount" fld="5"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B89284-E4CE-4E8C-BFAC-06331FEED37C}" name="PivotTable6"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D14:G20" firstHeaderRow="0" firstDataRow="1" firstDataCol="1"/>
  <pivotFields count="11">
    <pivotField dataField="1" showAll="0"/>
    <pivotField showAll="0"/>
    <pivotField showAll="0"/>
    <pivotField showAll="0">
      <items count="6">
        <item x="2"/>
        <item x="3"/>
        <item x="4"/>
        <item x="0"/>
        <item x="1"/>
        <item t="default"/>
      </items>
    </pivotField>
    <pivotField axis="axisRow" showAll="0">
      <items count="7">
        <item x="1"/>
        <item x="5"/>
        <item x="2"/>
        <item x="3"/>
        <item x="4"/>
        <item x="0"/>
        <item t="default"/>
      </items>
    </pivotField>
    <pivotField dataField="1" showAll="0"/>
    <pivotField dataField="1" showAll="0"/>
    <pivotField numFmtId="164" showAll="0"/>
    <pivotField showAll="0"/>
    <pivotField showAll="0" defaultSubtotal="0"/>
    <pivotField showAll="0" defaultSubtotal="0"/>
  </pivotFields>
  <rowFields count="1">
    <field x="4"/>
  </rowFields>
  <rowItems count="6">
    <i>
      <x/>
    </i>
    <i>
      <x v="1"/>
    </i>
    <i>
      <x v="2"/>
    </i>
    <i>
      <x v="3"/>
    </i>
    <i>
      <x v="4"/>
    </i>
    <i>
      <x v="5"/>
    </i>
  </rowItems>
  <colFields count="1">
    <field x="-2"/>
  </colFields>
  <colItems count="3">
    <i>
      <x/>
    </i>
    <i i="1">
      <x v="1"/>
    </i>
    <i i="2">
      <x v="2"/>
    </i>
  </colItems>
  <dataFields count="3">
    <dataField name="Sum of Order No" fld="0" baseField="0" baseItem="0"/>
    <dataField name="Sum of Discount (%)" fld="6" baseField="0" baseItem="0"/>
    <dataField name="Sum of Amount" fld="5" baseField="0" baseItem="0"/>
  </dataFields>
  <formats count="2">
    <format dxfId="1">
      <pivotArea collapsedLevelsAreSubtotals="1" fieldPosition="0">
        <references count="2">
          <reference field="4294967294" count="1" selected="0">
            <x v="1"/>
          </reference>
          <reference field="4" count="0"/>
        </references>
      </pivotArea>
    </format>
    <format dxfId="0">
      <pivotArea collapsedLevelsAreSubtotals="1" fieldPosition="0">
        <references count="2">
          <reference field="4294967294" count="1" selected="0">
            <x v="2"/>
          </reference>
          <reference field="4" count="0"/>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68607AA-6B33-47CD-B8C7-FA0345C227D8}" sourceName="City">
  <pivotTables>
    <pivotTable tabId="2" name="PivotTable1"/>
  </pivotTables>
  <data>
    <tabular pivotCacheId="1323499500">
      <items count="7">
        <i x="0" s="1"/>
        <i x="5" s="1"/>
        <i x="1" s="1"/>
        <i x="4" s="1"/>
        <i x="6"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463A286B-3BA2-420F-890D-AF6D8DE4AA77}" sourceName="Returned">
  <pivotTables>
    <pivotTable tabId="2" name="PivotTable1"/>
  </pivotTables>
  <data>
    <tabular pivotCacheId="1323499500">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51691F8-6C38-4ED3-9098-4955775CE3A4}" cache="Slicer_City" caption="City" rowHeight="241300"/>
  <slicer name="Returned" xr10:uid="{39BF4C54-9BFF-40C9-BD59-07D48CF4E8E9}" cache="Slicer_Returned" caption="Return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E55EDB2-E235-4EAC-A86F-F5485C6BC4AC}" cache="Slicer_City" caption="City" rowHeight="241300"/>
  <slicer name="Returned 1" xr10:uid="{99DA2939-6EC9-4493-9CDD-7A349466F588}" cache="Slicer_Returned" caption="Returne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01F61-D5E3-4437-9DAF-5F0E52BF39F8}" name="Table1" displayName="Table1" ref="A1:I101" totalsRowShown="0" headerRowDxfId="7" headerRowBorderDxfId="6" tableBorderDxfId="5">
  <autoFilter ref="A1:I101" xr:uid="{845A0367-F552-45A3-9C9C-AF886268E972}"/>
  <tableColumns count="9">
    <tableColumn id="1" xr3:uid="{EBB681FD-B942-40A6-B209-28B0BAD687AA}" name="Order No"/>
    <tableColumn id="2" xr3:uid="{F833C5E6-E18B-4458-83D5-7F1A94CA0299}" name="Customer Name"/>
    <tableColumn id="3" xr3:uid="{F0E11A9A-9F39-4755-9AF6-48559C1FC374}" name="City"/>
    <tableColumn id="4" xr3:uid="{6403A776-34D6-4765-A5F8-D73511D393DE}" name="Payment Mode"/>
    <tableColumn id="5" xr3:uid="{523BF079-9AFF-425A-B7E6-79E07061EF56}" name="Category"/>
    <tableColumn id="6" xr3:uid="{6609F17C-FE9E-4066-B4B5-380B332B782E}" name="Amount"/>
    <tableColumn id="7" xr3:uid="{6D189A40-E3B2-4185-A579-C06E373928EB}" name="Discount (%)"/>
    <tableColumn id="8" xr3:uid="{CC0E42BE-75B6-44A2-96CF-C8E1C26FF6F4}" name="Order Date" dataDxfId="4"/>
    <tableColumn id="9" xr3:uid="{9F6D8467-AC3C-422C-BA3C-98CD6D054219}" name="Return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54C3BEC-B317-4850-8A90-8DD280AAD4E7}" sourceName="Order Date">
  <pivotTables>
    <pivotTable tabId="2" name="PivotTable1"/>
  </pivotTables>
  <state minimalRefreshVersion="6" lastRefreshVersion="6" pivotCacheId="1323499500" filterType="unknown">
    <bounds startDate="2024-01-01T22:28:56" endDate="2026-01-01T17:55:5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9F3157E-C624-416C-AE51-55B9C0D08B1A}" cache="NativeTimeline_Order_Date" caption="Order Date" level="2" selectionLevel="2" scrollPosition="2024-12-0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1F892FF-8A94-4EDF-962F-F4BB3077BF84}" cache="NativeTimeline_Order_Date" caption="Order Date" level="2" selectionLevel="2"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6.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A9BD-7429-44AA-9B24-83A3DCE1D90F}">
  <sheetPr codeName="Sheet1"/>
  <dimension ref="A1:I101"/>
  <sheetViews>
    <sheetView topLeftCell="A2" workbookViewId="0">
      <selection activeCell="L9" sqref="L9"/>
    </sheetView>
  </sheetViews>
  <sheetFormatPr defaultRowHeight="15" x14ac:dyDescent="0.25"/>
  <cols>
    <col min="1" max="1" width="13.7109375" bestFit="1" customWidth="1"/>
    <col min="2" max="2" width="20" bestFit="1" customWidth="1"/>
    <col min="3" max="3" width="10.5703125" bestFit="1" customWidth="1"/>
    <col min="4" max="4" width="19.28515625" bestFit="1" customWidth="1"/>
    <col min="5" max="5" width="13.42578125" bestFit="1" customWidth="1"/>
    <col min="6" max="6" width="12.7109375" bestFit="1" customWidth="1"/>
    <col min="7" max="7" width="16.7109375" bestFit="1" customWidth="1"/>
    <col min="8" max="8" width="15.28515625" style="3" bestFit="1" customWidth="1"/>
    <col min="9" max="9" width="13.85546875" bestFit="1" customWidth="1"/>
    <col min="12" max="12" width="16.5703125" bestFit="1" customWidth="1"/>
  </cols>
  <sheetData>
    <row r="1" spans="1:9" x14ac:dyDescent="0.25">
      <c r="A1" s="4" t="s">
        <v>120</v>
      </c>
      <c r="B1" s="4" t="s">
        <v>121</v>
      </c>
      <c r="C1" s="4" t="s">
        <v>122</v>
      </c>
      <c r="D1" s="4" t="s">
        <v>123</v>
      </c>
      <c r="E1" s="4" t="s">
        <v>124</v>
      </c>
      <c r="F1" s="4" t="s">
        <v>125</v>
      </c>
      <c r="G1" s="4" t="s">
        <v>126</v>
      </c>
      <c r="H1" s="5" t="s">
        <v>127</v>
      </c>
      <c r="I1" s="4" t="s">
        <v>128</v>
      </c>
    </row>
    <row r="2" spans="1:9" x14ac:dyDescent="0.25">
      <c r="A2" s="1">
        <v>2001</v>
      </c>
      <c r="B2" s="1" t="s">
        <v>0</v>
      </c>
      <c r="C2" s="1" t="s">
        <v>1</v>
      </c>
      <c r="D2" s="1" t="s">
        <v>2</v>
      </c>
      <c r="E2" s="1" t="s">
        <v>3</v>
      </c>
      <c r="F2" s="1">
        <v>29294</v>
      </c>
      <c r="G2" s="1">
        <v>22</v>
      </c>
      <c r="H2" s="3">
        <v>45369.072384259263</v>
      </c>
      <c r="I2" s="1" t="s">
        <v>4</v>
      </c>
    </row>
    <row r="3" spans="1:9" x14ac:dyDescent="0.25">
      <c r="A3" s="1">
        <v>2002</v>
      </c>
      <c r="B3" s="1" t="s">
        <v>5</v>
      </c>
      <c r="C3" s="1" t="s">
        <v>6</v>
      </c>
      <c r="D3" s="1" t="s">
        <v>2</v>
      </c>
      <c r="E3" s="1" t="s">
        <v>7</v>
      </c>
      <c r="F3" s="1">
        <v>39337</v>
      </c>
      <c r="G3" s="1">
        <v>23</v>
      </c>
      <c r="H3" s="3">
        <v>45715.444965277777</v>
      </c>
      <c r="I3" s="1" t="s">
        <v>8</v>
      </c>
    </row>
    <row r="4" spans="1:9" x14ac:dyDescent="0.25">
      <c r="A4" s="1">
        <v>2003</v>
      </c>
      <c r="B4" s="1" t="s">
        <v>9</v>
      </c>
      <c r="C4" s="1" t="s">
        <v>10</v>
      </c>
      <c r="D4" s="1" t="s">
        <v>11</v>
      </c>
      <c r="E4" s="1" t="s">
        <v>12</v>
      </c>
      <c r="F4" s="1">
        <v>46941</v>
      </c>
      <c r="G4" s="1">
        <v>5</v>
      </c>
      <c r="H4" s="3">
        <v>45348.081446759257</v>
      </c>
      <c r="I4" s="1" t="s">
        <v>4</v>
      </c>
    </row>
    <row r="5" spans="1:9" x14ac:dyDescent="0.25">
      <c r="A5" s="1">
        <v>2004</v>
      </c>
      <c r="B5" s="1" t="s">
        <v>13</v>
      </c>
      <c r="C5" s="1" t="s">
        <v>14</v>
      </c>
      <c r="D5" s="1" t="s">
        <v>2</v>
      </c>
      <c r="E5" s="1" t="s">
        <v>7</v>
      </c>
      <c r="F5" s="1">
        <v>32023</v>
      </c>
      <c r="G5" s="1">
        <v>23</v>
      </c>
      <c r="H5" s="3">
        <v>45610.97896990741</v>
      </c>
      <c r="I5" s="1" t="s">
        <v>8</v>
      </c>
    </row>
    <row r="6" spans="1:9" x14ac:dyDescent="0.25">
      <c r="A6" s="1">
        <v>2005</v>
      </c>
      <c r="B6" s="1" t="s">
        <v>15</v>
      </c>
      <c r="C6" s="1" t="s">
        <v>1</v>
      </c>
      <c r="D6" s="1" t="s">
        <v>16</v>
      </c>
      <c r="E6" s="1" t="s">
        <v>17</v>
      </c>
      <c r="F6" s="1">
        <v>41459</v>
      </c>
      <c r="G6" s="1">
        <v>21</v>
      </c>
      <c r="H6" s="3">
        <v>45539.320787037039</v>
      </c>
      <c r="I6" s="1" t="s">
        <v>4</v>
      </c>
    </row>
    <row r="7" spans="1:9" x14ac:dyDescent="0.25">
      <c r="A7" s="1">
        <v>2006</v>
      </c>
      <c r="B7" s="1" t="s">
        <v>18</v>
      </c>
      <c r="C7" s="1" t="s">
        <v>14</v>
      </c>
      <c r="D7" s="1" t="s">
        <v>16</v>
      </c>
      <c r="E7" s="1" t="s">
        <v>3</v>
      </c>
      <c r="F7" s="1">
        <v>40988</v>
      </c>
      <c r="G7" s="1">
        <v>5</v>
      </c>
      <c r="H7" s="3">
        <v>45830.685520833344</v>
      </c>
      <c r="I7" s="1" t="s">
        <v>4</v>
      </c>
    </row>
    <row r="8" spans="1:9" x14ac:dyDescent="0.25">
      <c r="A8" s="1">
        <v>2007</v>
      </c>
      <c r="B8" s="1" t="s">
        <v>19</v>
      </c>
      <c r="C8" s="1" t="s">
        <v>20</v>
      </c>
      <c r="D8" s="1" t="s">
        <v>11</v>
      </c>
      <c r="E8" s="1" t="s">
        <v>7</v>
      </c>
      <c r="F8" s="1">
        <v>13659</v>
      </c>
      <c r="G8" s="1">
        <v>21</v>
      </c>
      <c r="H8" s="3">
        <v>45854.57953703704</v>
      </c>
      <c r="I8" s="1" t="s">
        <v>8</v>
      </c>
    </row>
    <row r="9" spans="1:9" x14ac:dyDescent="0.25">
      <c r="A9" s="1">
        <v>2008</v>
      </c>
      <c r="B9" s="1" t="s">
        <v>21</v>
      </c>
      <c r="C9" s="1" t="s">
        <v>20</v>
      </c>
      <c r="D9" s="1" t="s">
        <v>16</v>
      </c>
      <c r="E9" s="1" t="s">
        <v>22</v>
      </c>
      <c r="F9" s="1">
        <v>47652</v>
      </c>
      <c r="G9" s="1">
        <v>29</v>
      </c>
      <c r="H9" s="3">
        <v>45385.745821759258</v>
      </c>
      <c r="I9" s="1" t="s">
        <v>4</v>
      </c>
    </row>
    <row r="10" spans="1:9" x14ac:dyDescent="0.25">
      <c r="A10" s="1">
        <v>2009</v>
      </c>
      <c r="B10" s="1" t="s">
        <v>23</v>
      </c>
      <c r="C10" s="1" t="s">
        <v>6</v>
      </c>
      <c r="D10" s="1" t="s">
        <v>16</v>
      </c>
      <c r="E10" s="1" t="s">
        <v>7</v>
      </c>
      <c r="F10" s="1">
        <v>8317</v>
      </c>
      <c r="G10" s="1">
        <v>8</v>
      </c>
      <c r="H10" s="3">
        <v>45377.796932870369</v>
      </c>
      <c r="I10" s="1" t="s">
        <v>8</v>
      </c>
    </row>
    <row r="11" spans="1:9" x14ac:dyDescent="0.25">
      <c r="A11" s="1">
        <v>2010</v>
      </c>
      <c r="B11" s="1" t="s">
        <v>24</v>
      </c>
      <c r="C11" s="1" t="s">
        <v>14</v>
      </c>
      <c r="D11" s="1" t="s">
        <v>16</v>
      </c>
      <c r="E11" s="1" t="s">
        <v>3</v>
      </c>
      <c r="F11" s="1">
        <v>30016</v>
      </c>
      <c r="G11" s="1">
        <v>10</v>
      </c>
      <c r="H11" s="3">
        <v>45419.012118055558</v>
      </c>
      <c r="I11" s="1" t="s">
        <v>4</v>
      </c>
    </row>
    <row r="12" spans="1:9" x14ac:dyDescent="0.25">
      <c r="A12" s="1">
        <v>2011</v>
      </c>
      <c r="B12" s="1" t="s">
        <v>25</v>
      </c>
      <c r="C12" s="1" t="s">
        <v>20</v>
      </c>
      <c r="D12" s="1" t="s">
        <v>11</v>
      </c>
      <c r="E12" s="1" t="s">
        <v>22</v>
      </c>
      <c r="F12" s="1">
        <v>15344</v>
      </c>
      <c r="G12" s="1">
        <v>24</v>
      </c>
      <c r="H12" s="3">
        <v>45590.689699074072</v>
      </c>
      <c r="I12" s="1" t="s">
        <v>4</v>
      </c>
    </row>
    <row r="13" spans="1:9" x14ac:dyDescent="0.25">
      <c r="A13" s="1">
        <v>2012</v>
      </c>
      <c r="B13" s="1" t="s">
        <v>26</v>
      </c>
      <c r="C13" s="1" t="s">
        <v>1</v>
      </c>
      <c r="D13" s="1" t="s">
        <v>27</v>
      </c>
      <c r="E13" s="1" t="s">
        <v>3</v>
      </c>
      <c r="F13" s="1">
        <v>31572</v>
      </c>
      <c r="G13" s="1">
        <v>30</v>
      </c>
      <c r="H13" s="3">
        <v>45626.028460648151</v>
      </c>
      <c r="I13" s="1" t="s">
        <v>4</v>
      </c>
    </row>
    <row r="14" spans="1:9" x14ac:dyDescent="0.25">
      <c r="A14" s="1">
        <v>2013</v>
      </c>
      <c r="B14" s="1" t="s">
        <v>28</v>
      </c>
      <c r="C14" s="1" t="s">
        <v>14</v>
      </c>
      <c r="D14" s="1" t="s">
        <v>27</v>
      </c>
      <c r="E14" s="1" t="s">
        <v>29</v>
      </c>
      <c r="F14" s="1">
        <v>35151</v>
      </c>
      <c r="G14" s="1">
        <v>10</v>
      </c>
      <c r="H14" s="3">
        <v>45835.741481481477</v>
      </c>
      <c r="I14" s="1" t="s">
        <v>8</v>
      </c>
    </row>
    <row r="15" spans="1:9" x14ac:dyDescent="0.25">
      <c r="A15" s="1">
        <v>2014</v>
      </c>
      <c r="B15" s="1" t="s">
        <v>30</v>
      </c>
      <c r="C15" s="1" t="s">
        <v>14</v>
      </c>
      <c r="D15" s="1" t="s">
        <v>2</v>
      </c>
      <c r="E15" s="1" t="s">
        <v>29</v>
      </c>
      <c r="F15" s="1">
        <v>24588</v>
      </c>
      <c r="G15" s="1">
        <v>7</v>
      </c>
      <c r="H15" s="3">
        <v>45496.566608796304</v>
      </c>
      <c r="I15" s="1" t="s">
        <v>8</v>
      </c>
    </row>
    <row r="16" spans="1:9" x14ac:dyDescent="0.25">
      <c r="A16" s="1">
        <v>2015</v>
      </c>
      <c r="B16" s="1" t="s">
        <v>31</v>
      </c>
      <c r="C16" s="1" t="s">
        <v>14</v>
      </c>
      <c r="D16" s="1" t="s">
        <v>32</v>
      </c>
      <c r="E16" s="1" t="s">
        <v>12</v>
      </c>
      <c r="F16" s="1">
        <v>34921</v>
      </c>
      <c r="G16" s="1">
        <v>6</v>
      </c>
      <c r="H16" s="3">
        <v>45777.095092592594</v>
      </c>
      <c r="I16" s="1" t="s">
        <v>4</v>
      </c>
    </row>
    <row r="17" spans="1:9" x14ac:dyDescent="0.25">
      <c r="A17" s="1">
        <v>2016</v>
      </c>
      <c r="B17" s="1" t="s">
        <v>33</v>
      </c>
      <c r="C17" s="1" t="s">
        <v>20</v>
      </c>
      <c r="D17" s="1" t="s">
        <v>16</v>
      </c>
      <c r="E17" s="1" t="s">
        <v>12</v>
      </c>
      <c r="F17" s="1">
        <v>25286</v>
      </c>
      <c r="G17" s="1">
        <v>5</v>
      </c>
      <c r="H17" s="3">
        <v>45534.045081018521</v>
      </c>
      <c r="I17" s="1" t="s">
        <v>8</v>
      </c>
    </row>
    <row r="18" spans="1:9" x14ac:dyDescent="0.25">
      <c r="A18" s="1">
        <v>2017</v>
      </c>
      <c r="B18" s="1" t="s">
        <v>34</v>
      </c>
      <c r="C18" s="1" t="s">
        <v>1</v>
      </c>
      <c r="D18" s="1" t="s">
        <v>27</v>
      </c>
      <c r="E18" s="1" t="s">
        <v>17</v>
      </c>
      <c r="F18" s="1">
        <v>29479</v>
      </c>
      <c r="G18" s="1">
        <v>11</v>
      </c>
      <c r="H18" s="3">
        <v>45331.106504629628</v>
      </c>
      <c r="I18" s="1" t="s">
        <v>4</v>
      </c>
    </row>
    <row r="19" spans="1:9" x14ac:dyDescent="0.25">
      <c r="A19" s="1">
        <v>2018</v>
      </c>
      <c r="B19" s="1" t="s">
        <v>35</v>
      </c>
      <c r="C19" s="1" t="s">
        <v>6</v>
      </c>
      <c r="D19" s="1" t="s">
        <v>16</v>
      </c>
      <c r="E19" s="1" t="s">
        <v>22</v>
      </c>
      <c r="F19" s="1">
        <v>49283</v>
      </c>
      <c r="G19" s="1">
        <v>12</v>
      </c>
      <c r="H19" s="3">
        <v>45370.427233796298</v>
      </c>
      <c r="I19" s="1" t="s">
        <v>8</v>
      </c>
    </row>
    <row r="20" spans="1:9" x14ac:dyDescent="0.25">
      <c r="A20" s="1">
        <v>2019</v>
      </c>
      <c r="B20" s="1" t="s">
        <v>36</v>
      </c>
      <c r="C20" s="1" t="s">
        <v>20</v>
      </c>
      <c r="D20" s="1" t="s">
        <v>11</v>
      </c>
      <c r="E20" s="1" t="s">
        <v>12</v>
      </c>
      <c r="F20" s="1">
        <v>20912</v>
      </c>
      <c r="G20" s="1">
        <v>20</v>
      </c>
      <c r="H20" s="3">
        <v>45822.235694444447</v>
      </c>
      <c r="I20" s="1" t="s">
        <v>8</v>
      </c>
    </row>
    <row r="21" spans="1:9" x14ac:dyDescent="0.25">
      <c r="A21" s="1">
        <v>2020</v>
      </c>
      <c r="B21" s="1" t="s">
        <v>37</v>
      </c>
      <c r="C21" s="1" t="s">
        <v>1</v>
      </c>
      <c r="D21" s="1" t="s">
        <v>2</v>
      </c>
      <c r="E21" s="1" t="s">
        <v>7</v>
      </c>
      <c r="F21" s="1">
        <v>3578</v>
      </c>
      <c r="G21" s="1">
        <v>24</v>
      </c>
      <c r="H21" s="3">
        <v>45512.629675925928</v>
      </c>
      <c r="I21" s="1" t="s">
        <v>8</v>
      </c>
    </row>
    <row r="22" spans="1:9" x14ac:dyDescent="0.25">
      <c r="A22" s="1">
        <v>2021</v>
      </c>
      <c r="B22" s="1" t="s">
        <v>38</v>
      </c>
      <c r="C22" s="1" t="s">
        <v>10</v>
      </c>
      <c r="D22" s="1" t="s">
        <v>2</v>
      </c>
      <c r="E22" s="1" t="s">
        <v>7</v>
      </c>
      <c r="F22" s="1">
        <v>10158</v>
      </c>
      <c r="G22" s="1">
        <v>1</v>
      </c>
      <c r="H22" s="3">
        <v>45808.320891203701</v>
      </c>
      <c r="I22" s="1" t="s">
        <v>8</v>
      </c>
    </row>
    <row r="23" spans="1:9" x14ac:dyDescent="0.25">
      <c r="A23" s="1">
        <v>2022</v>
      </c>
      <c r="B23" s="1" t="s">
        <v>39</v>
      </c>
      <c r="C23" s="1" t="s">
        <v>10</v>
      </c>
      <c r="D23" s="1" t="s">
        <v>32</v>
      </c>
      <c r="E23" s="1" t="s">
        <v>7</v>
      </c>
      <c r="F23" s="1">
        <v>13342</v>
      </c>
      <c r="G23" s="1">
        <v>25</v>
      </c>
      <c r="H23" s="3">
        <v>45521.108900462961</v>
      </c>
      <c r="I23" s="1" t="s">
        <v>8</v>
      </c>
    </row>
    <row r="24" spans="1:9" x14ac:dyDescent="0.25">
      <c r="A24" s="1">
        <v>2023</v>
      </c>
      <c r="B24" s="1" t="s">
        <v>40</v>
      </c>
      <c r="C24" s="1" t="s">
        <v>41</v>
      </c>
      <c r="D24" s="1" t="s">
        <v>11</v>
      </c>
      <c r="E24" s="1" t="s">
        <v>17</v>
      </c>
      <c r="F24" s="1">
        <v>22789</v>
      </c>
      <c r="G24" s="1">
        <v>27</v>
      </c>
      <c r="H24" s="3">
        <v>45346.655462962961</v>
      </c>
      <c r="I24" s="1" t="s">
        <v>8</v>
      </c>
    </row>
    <row r="25" spans="1:9" x14ac:dyDescent="0.25">
      <c r="A25" s="1">
        <v>2024</v>
      </c>
      <c r="B25" s="1" t="s">
        <v>42</v>
      </c>
      <c r="C25" s="1" t="s">
        <v>1</v>
      </c>
      <c r="D25" s="1" t="s">
        <v>27</v>
      </c>
      <c r="E25" s="1" t="s">
        <v>3</v>
      </c>
      <c r="F25" s="1">
        <v>7880</v>
      </c>
      <c r="G25" s="1">
        <v>3</v>
      </c>
      <c r="H25" s="3">
        <v>45639.993275462963</v>
      </c>
      <c r="I25" s="1" t="s">
        <v>4</v>
      </c>
    </row>
    <row r="26" spans="1:9" x14ac:dyDescent="0.25">
      <c r="A26" s="1">
        <v>2025</v>
      </c>
      <c r="B26" s="1" t="s">
        <v>43</v>
      </c>
      <c r="C26" s="1" t="s">
        <v>6</v>
      </c>
      <c r="D26" s="1" t="s">
        <v>2</v>
      </c>
      <c r="E26" s="1" t="s">
        <v>7</v>
      </c>
      <c r="F26" s="1">
        <v>4005</v>
      </c>
      <c r="G26" s="1">
        <v>23</v>
      </c>
      <c r="H26" s="3">
        <v>45800.072152777779</v>
      </c>
      <c r="I26" s="1" t="s">
        <v>4</v>
      </c>
    </row>
    <row r="27" spans="1:9" x14ac:dyDescent="0.25">
      <c r="A27" s="1">
        <v>2026</v>
      </c>
      <c r="B27" s="1" t="s">
        <v>44</v>
      </c>
      <c r="C27" s="1" t="s">
        <v>10</v>
      </c>
      <c r="D27" s="1" t="s">
        <v>16</v>
      </c>
      <c r="E27" s="1" t="s">
        <v>3</v>
      </c>
      <c r="F27" s="1">
        <v>46088</v>
      </c>
      <c r="G27" s="1">
        <v>21</v>
      </c>
      <c r="H27" s="3">
        <v>45294.936759259261</v>
      </c>
      <c r="I27" s="1" t="s">
        <v>4</v>
      </c>
    </row>
    <row r="28" spans="1:9" x14ac:dyDescent="0.25">
      <c r="A28" s="1">
        <v>2027</v>
      </c>
      <c r="B28" s="1" t="s">
        <v>45</v>
      </c>
      <c r="C28" s="1" t="s">
        <v>46</v>
      </c>
      <c r="D28" s="1" t="s">
        <v>2</v>
      </c>
      <c r="E28" s="1" t="s">
        <v>29</v>
      </c>
      <c r="F28" s="1">
        <v>30760</v>
      </c>
      <c r="G28" s="1">
        <v>22</v>
      </c>
      <c r="H28" s="3">
        <v>45780.242106481477</v>
      </c>
      <c r="I28" s="1" t="s">
        <v>4</v>
      </c>
    </row>
    <row r="29" spans="1:9" x14ac:dyDescent="0.25">
      <c r="A29" s="1">
        <v>2028</v>
      </c>
      <c r="B29" s="1" t="s">
        <v>47</v>
      </c>
      <c r="C29" s="1" t="s">
        <v>46</v>
      </c>
      <c r="D29" s="1" t="s">
        <v>2</v>
      </c>
      <c r="E29" s="1" t="s">
        <v>3</v>
      </c>
      <c r="F29" s="1">
        <v>19806</v>
      </c>
      <c r="G29" s="1">
        <v>26</v>
      </c>
      <c r="H29" s="3">
        <v>45567.38652777778</v>
      </c>
      <c r="I29" s="1" t="s">
        <v>4</v>
      </c>
    </row>
    <row r="30" spans="1:9" x14ac:dyDescent="0.25">
      <c r="A30" s="1">
        <v>2029</v>
      </c>
      <c r="B30" s="1" t="s">
        <v>48</v>
      </c>
      <c r="C30" s="1" t="s">
        <v>41</v>
      </c>
      <c r="D30" s="1" t="s">
        <v>16</v>
      </c>
      <c r="E30" s="1" t="s">
        <v>29</v>
      </c>
      <c r="F30" s="1">
        <v>695</v>
      </c>
      <c r="G30" s="1">
        <v>14</v>
      </c>
      <c r="H30" s="3">
        <v>45462.971979166658</v>
      </c>
      <c r="I30" s="1" t="s">
        <v>8</v>
      </c>
    </row>
    <row r="31" spans="1:9" x14ac:dyDescent="0.25">
      <c r="A31" s="1">
        <v>2030</v>
      </c>
      <c r="B31" s="1" t="s">
        <v>49</v>
      </c>
      <c r="C31" s="1" t="s">
        <v>14</v>
      </c>
      <c r="D31" s="1" t="s">
        <v>32</v>
      </c>
      <c r="E31" s="1" t="s">
        <v>17</v>
      </c>
      <c r="F31" s="1">
        <v>19627</v>
      </c>
      <c r="G31" s="1">
        <v>23</v>
      </c>
      <c r="H31" s="3">
        <v>45735.439259259263</v>
      </c>
      <c r="I31" s="1" t="s">
        <v>4</v>
      </c>
    </row>
    <row r="32" spans="1:9" x14ac:dyDescent="0.25">
      <c r="A32" s="1">
        <v>2031</v>
      </c>
      <c r="B32" s="1" t="s">
        <v>50</v>
      </c>
      <c r="C32" s="1" t="s">
        <v>1</v>
      </c>
      <c r="D32" s="1" t="s">
        <v>32</v>
      </c>
      <c r="E32" s="1" t="s">
        <v>17</v>
      </c>
      <c r="F32" s="1">
        <v>46058</v>
      </c>
      <c r="G32" s="1">
        <v>4</v>
      </c>
      <c r="H32" s="3">
        <v>45808.038472222222</v>
      </c>
      <c r="I32" s="1" t="s">
        <v>4</v>
      </c>
    </row>
    <row r="33" spans="1:9" x14ac:dyDescent="0.25">
      <c r="A33" s="1">
        <v>2032</v>
      </c>
      <c r="B33" s="1" t="s">
        <v>51</v>
      </c>
      <c r="C33" s="1" t="s">
        <v>10</v>
      </c>
      <c r="D33" s="1" t="s">
        <v>16</v>
      </c>
      <c r="E33" s="1" t="s">
        <v>22</v>
      </c>
      <c r="F33" s="1">
        <v>8203</v>
      </c>
      <c r="G33" s="1">
        <v>21</v>
      </c>
      <c r="H33" s="3">
        <v>45433.746342592603</v>
      </c>
      <c r="I33" s="1" t="s">
        <v>8</v>
      </c>
    </row>
    <row r="34" spans="1:9" x14ac:dyDescent="0.25">
      <c r="A34" s="1">
        <v>2033</v>
      </c>
      <c r="B34" s="1" t="s">
        <v>52</v>
      </c>
      <c r="C34" s="1" t="s">
        <v>10</v>
      </c>
      <c r="D34" s="1" t="s">
        <v>27</v>
      </c>
      <c r="E34" s="1" t="s">
        <v>17</v>
      </c>
      <c r="F34" s="1">
        <v>14220</v>
      </c>
      <c r="G34" s="1">
        <v>11</v>
      </c>
      <c r="H34" s="3">
        <v>45739.437685185178</v>
      </c>
      <c r="I34" s="1" t="s">
        <v>8</v>
      </c>
    </row>
    <row r="35" spans="1:9" x14ac:dyDescent="0.25">
      <c r="A35" s="1">
        <v>2034</v>
      </c>
      <c r="B35" s="1" t="s">
        <v>53</v>
      </c>
      <c r="C35" s="1" t="s">
        <v>10</v>
      </c>
      <c r="D35" s="1" t="s">
        <v>27</v>
      </c>
      <c r="E35" s="1" t="s">
        <v>22</v>
      </c>
      <c r="F35" s="1">
        <v>7405</v>
      </c>
      <c r="G35" s="1">
        <v>30</v>
      </c>
      <c r="H35" s="3">
        <v>45370.886041666658</v>
      </c>
      <c r="I35" s="1" t="s">
        <v>4</v>
      </c>
    </row>
    <row r="36" spans="1:9" x14ac:dyDescent="0.25">
      <c r="A36" s="1">
        <v>2035</v>
      </c>
      <c r="B36" s="1" t="s">
        <v>54</v>
      </c>
      <c r="C36" s="1" t="s">
        <v>14</v>
      </c>
      <c r="D36" s="1" t="s">
        <v>16</v>
      </c>
      <c r="E36" s="1" t="s">
        <v>29</v>
      </c>
      <c r="F36" s="1">
        <v>18366</v>
      </c>
      <c r="G36" s="1">
        <v>25</v>
      </c>
      <c r="H36" s="3">
        <v>45529.444814814808</v>
      </c>
      <c r="I36" s="1" t="s">
        <v>4</v>
      </c>
    </row>
    <row r="37" spans="1:9" x14ac:dyDescent="0.25">
      <c r="A37" s="1">
        <v>2036</v>
      </c>
      <c r="B37" s="1" t="s">
        <v>55</v>
      </c>
      <c r="C37" s="1" t="s">
        <v>41</v>
      </c>
      <c r="D37" s="1" t="s">
        <v>27</v>
      </c>
      <c r="E37" s="1" t="s">
        <v>22</v>
      </c>
      <c r="F37" s="1">
        <v>11576</v>
      </c>
      <c r="G37" s="1">
        <v>0</v>
      </c>
      <c r="H37" s="3">
        <v>45886.128125000003</v>
      </c>
      <c r="I37" s="1" t="s">
        <v>8</v>
      </c>
    </row>
    <row r="38" spans="1:9" x14ac:dyDescent="0.25">
      <c r="A38" s="1">
        <v>2037</v>
      </c>
      <c r="B38" s="1" t="s">
        <v>56</v>
      </c>
      <c r="C38" s="1" t="s">
        <v>41</v>
      </c>
      <c r="D38" s="1" t="s">
        <v>2</v>
      </c>
      <c r="E38" s="1" t="s">
        <v>3</v>
      </c>
      <c r="F38" s="1">
        <v>34551</v>
      </c>
      <c r="G38" s="1">
        <v>9</v>
      </c>
      <c r="H38" s="3">
        <v>45635.1409375</v>
      </c>
      <c r="I38" s="1" t="s">
        <v>4</v>
      </c>
    </row>
    <row r="39" spans="1:9" x14ac:dyDescent="0.25">
      <c r="A39" s="1">
        <v>2038</v>
      </c>
      <c r="B39" s="1" t="s">
        <v>57</v>
      </c>
      <c r="C39" s="1" t="s">
        <v>6</v>
      </c>
      <c r="D39" s="1" t="s">
        <v>11</v>
      </c>
      <c r="E39" s="1" t="s">
        <v>22</v>
      </c>
      <c r="F39" s="1">
        <v>26368</v>
      </c>
      <c r="G39" s="1">
        <v>5</v>
      </c>
      <c r="H39" s="3">
        <v>45578.437141203707</v>
      </c>
      <c r="I39" s="1" t="s">
        <v>4</v>
      </c>
    </row>
    <row r="40" spans="1:9" x14ac:dyDescent="0.25">
      <c r="A40" s="1">
        <v>2039</v>
      </c>
      <c r="B40" s="1" t="s">
        <v>58</v>
      </c>
      <c r="C40" s="1" t="s">
        <v>14</v>
      </c>
      <c r="D40" s="1" t="s">
        <v>2</v>
      </c>
      <c r="E40" s="1" t="s">
        <v>3</v>
      </c>
      <c r="F40" s="1">
        <v>14342</v>
      </c>
      <c r="G40" s="1">
        <v>22</v>
      </c>
      <c r="H40" s="3">
        <v>45439.291597222233</v>
      </c>
      <c r="I40" s="1" t="s">
        <v>8</v>
      </c>
    </row>
    <row r="41" spans="1:9" x14ac:dyDescent="0.25">
      <c r="A41" s="1">
        <v>2040</v>
      </c>
      <c r="B41" s="1" t="s">
        <v>59</v>
      </c>
      <c r="C41" s="1" t="s">
        <v>14</v>
      </c>
      <c r="D41" s="1" t="s">
        <v>11</v>
      </c>
      <c r="E41" s="1" t="s">
        <v>3</v>
      </c>
      <c r="F41" s="1">
        <v>14276</v>
      </c>
      <c r="G41" s="1">
        <v>15</v>
      </c>
      <c r="H41" s="3">
        <v>45857.740983796299</v>
      </c>
      <c r="I41" s="1" t="s">
        <v>8</v>
      </c>
    </row>
    <row r="42" spans="1:9" x14ac:dyDescent="0.25">
      <c r="A42" s="1">
        <v>2041</v>
      </c>
      <c r="B42" s="1" t="s">
        <v>60</v>
      </c>
      <c r="C42" s="1" t="s">
        <v>14</v>
      </c>
      <c r="D42" s="1" t="s">
        <v>32</v>
      </c>
      <c r="E42" s="1" t="s">
        <v>7</v>
      </c>
      <c r="F42" s="1">
        <v>16766</v>
      </c>
      <c r="G42" s="1">
        <v>24</v>
      </c>
      <c r="H42" s="3">
        <v>45531.523854166669</v>
      </c>
      <c r="I42" s="1" t="s">
        <v>4</v>
      </c>
    </row>
    <row r="43" spans="1:9" x14ac:dyDescent="0.25">
      <c r="A43" s="1">
        <v>2042</v>
      </c>
      <c r="B43" s="1" t="s">
        <v>61</v>
      </c>
      <c r="C43" s="1" t="s">
        <v>46</v>
      </c>
      <c r="D43" s="1" t="s">
        <v>2</v>
      </c>
      <c r="E43" s="1" t="s">
        <v>22</v>
      </c>
      <c r="F43" s="1">
        <v>43109</v>
      </c>
      <c r="G43" s="1">
        <v>0</v>
      </c>
      <c r="H43" s="3">
        <v>45723.617800925917</v>
      </c>
      <c r="I43" s="1" t="s">
        <v>8</v>
      </c>
    </row>
    <row r="44" spans="1:9" x14ac:dyDescent="0.25">
      <c r="A44" s="1">
        <v>2043</v>
      </c>
      <c r="B44" s="1" t="s">
        <v>62</v>
      </c>
      <c r="C44" s="1" t="s">
        <v>14</v>
      </c>
      <c r="D44" s="1" t="s">
        <v>2</v>
      </c>
      <c r="E44" s="1" t="s">
        <v>17</v>
      </c>
      <c r="F44" s="1">
        <v>11989</v>
      </c>
      <c r="G44" s="1">
        <v>15</v>
      </c>
      <c r="H44" s="3">
        <v>45744.123518518521</v>
      </c>
      <c r="I44" s="1" t="s">
        <v>4</v>
      </c>
    </row>
    <row r="45" spans="1:9" x14ac:dyDescent="0.25">
      <c r="A45" s="1">
        <v>2044</v>
      </c>
      <c r="B45" s="1" t="s">
        <v>63</v>
      </c>
      <c r="C45" s="1" t="s">
        <v>41</v>
      </c>
      <c r="D45" s="1" t="s">
        <v>2</v>
      </c>
      <c r="E45" s="1" t="s">
        <v>3</v>
      </c>
      <c r="F45" s="1">
        <v>31286</v>
      </c>
      <c r="G45" s="1">
        <v>0</v>
      </c>
      <c r="H45" s="3">
        <v>45383.990914351853</v>
      </c>
      <c r="I45" s="1" t="s">
        <v>8</v>
      </c>
    </row>
    <row r="46" spans="1:9" x14ac:dyDescent="0.25">
      <c r="A46" s="1">
        <v>2045</v>
      </c>
      <c r="B46" s="1" t="s">
        <v>64</v>
      </c>
      <c r="C46" s="1" t="s">
        <v>6</v>
      </c>
      <c r="D46" s="1" t="s">
        <v>32</v>
      </c>
      <c r="E46" s="1" t="s">
        <v>7</v>
      </c>
      <c r="F46" s="1">
        <v>5463</v>
      </c>
      <c r="G46" s="1">
        <v>5</v>
      </c>
      <c r="H46" s="3">
        <v>45858.950543981482</v>
      </c>
      <c r="I46" s="1" t="s">
        <v>8</v>
      </c>
    </row>
    <row r="47" spans="1:9" x14ac:dyDescent="0.25">
      <c r="A47" s="1">
        <v>2046</v>
      </c>
      <c r="B47" s="1" t="s">
        <v>65</v>
      </c>
      <c r="C47" s="1" t="s">
        <v>14</v>
      </c>
      <c r="D47" s="1" t="s">
        <v>27</v>
      </c>
      <c r="E47" s="1" t="s">
        <v>29</v>
      </c>
      <c r="F47" s="1">
        <v>43059</v>
      </c>
      <c r="G47" s="1">
        <v>14</v>
      </c>
      <c r="H47" s="3">
        <v>45573.227905092594</v>
      </c>
      <c r="I47" s="1" t="s">
        <v>8</v>
      </c>
    </row>
    <row r="48" spans="1:9" x14ac:dyDescent="0.25">
      <c r="A48" s="1">
        <v>2047</v>
      </c>
      <c r="B48" s="1" t="s">
        <v>66</v>
      </c>
      <c r="C48" s="1" t="s">
        <v>20</v>
      </c>
      <c r="D48" s="1" t="s">
        <v>27</v>
      </c>
      <c r="E48" s="1" t="s">
        <v>17</v>
      </c>
      <c r="F48" s="1">
        <v>6443</v>
      </c>
      <c r="G48" s="1">
        <v>8</v>
      </c>
      <c r="H48" s="3">
        <v>45475.546689814822</v>
      </c>
      <c r="I48" s="1" t="s">
        <v>8</v>
      </c>
    </row>
    <row r="49" spans="1:9" x14ac:dyDescent="0.25">
      <c r="A49" s="1">
        <v>2048</v>
      </c>
      <c r="B49" s="1" t="s">
        <v>67</v>
      </c>
      <c r="C49" s="1" t="s">
        <v>10</v>
      </c>
      <c r="D49" s="1" t="s">
        <v>16</v>
      </c>
      <c r="E49" s="1" t="s">
        <v>3</v>
      </c>
      <c r="F49" s="1">
        <v>23167</v>
      </c>
      <c r="G49" s="1">
        <v>11</v>
      </c>
      <c r="H49" s="3">
        <v>45822.526099537034</v>
      </c>
      <c r="I49" s="1" t="s">
        <v>4</v>
      </c>
    </row>
    <row r="50" spans="1:9" x14ac:dyDescent="0.25">
      <c r="A50" s="1">
        <v>2049</v>
      </c>
      <c r="B50" s="1" t="s">
        <v>68</v>
      </c>
      <c r="C50" s="1" t="s">
        <v>6</v>
      </c>
      <c r="D50" s="1" t="s">
        <v>16</v>
      </c>
      <c r="E50" s="1" t="s">
        <v>29</v>
      </c>
      <c r="F50" s="1">
        <v>35192</v>
      </c>
      <c r="G50" s="1">
        <v>27</v>
      </c>
      <c r="H50" s="3">
        <v>45710.59820601852</v>
      </c>
      <c r="I50" s="1" t="s">
        <v>4</v>
      </c>
    </row>
    <row r="51" spans="1:9" x14ac:dyDescent="0.25">
      <c r="A51" s="1">
        <v>2050</v>
      </c>
      <c r="B51" s="1" t="s">
        <v>69</v>
      </c>
      <c r="C51" s="1" t="s">
        <v>1</v>
      </c>
      <c r="D51" s="1" t="s">
        <v>11</v>
      </c>
      <c r="E51" s="1" t="s">
        <v>22</v>
      </c>
      <c r="F51" s="1">
        <v>22139</v>
      </c>
      <c r="G51" s="1">
        <v>5</v>
      </c>
      <c r="H51" s="3">
        <v>45396.186365740738</v>
      </c>
      <c r="I51" s="1" t="s">
        <v>4</v>
      </c>
    </row>
    <row r="52" spans="1:9" x14ac:dyDescent="0.25">
      <c r="A52" s="1">
        <v>2051</v>
      </c>
      <c r="B52" s="1" t="s">
        <v>70</v>
      </c>
      <c r="C52" s="1" t="s">
        <v>20</v>
      </c>
      <c r="D52" s="1" t="s">
        <v>32</v>
      </c>
      <c r="E52" s="1" t="s">
        <v>3</v>
      </c>
      <c r="F52" s="1">
        <v>13429</v>
      </c>
      <c r="G52" s="1">
        <v>17</v>
      </c>
      <c r="H52" s="3">
        <v>45814.933263888888</v>
      </c>
      <c r="I52" s="1" t="s">
        <v>4</v>
      </c>
    </row>
    <row r="53" spans="1:9" x14ac:dyDescent="0.25">
      <c r="A53" s="1">
        <v>2052</v>
      </c>
      <c r="B53" s="1" t="s">
        <v>71</v>
      </c>
      <c r="C53" s="1" t="s">
        <v>6</v>
      </c>
      <c r="D53" s="1" t="s">
        <v>16</v>
      </c>
      <c r="E53" s="1" t="s">
        <v>12</v>
      </c>
      <c r="F53" s="1">
        <v>28666</v>
      </c>
      <c r="G53" s="1">
        <v>0</v>
      </c>
      <c r="H53" s="3">
        <v>45691.153796296298</v>
      </c>
      <c r="I53" s="1" t="s">
        <v>8</v>
      </c>
    </row>
    <row r="54" spans="1:9" x14ac:dyDescent="0.25">
      <c r="A54" s="1">
        <v>2053</v>
      </c>
      <c r="B54" s="1" t="s">
        <v>72</v>
      </c>
      <c r="C54" s="1" t="s">
        <v>10</v>
      </c>
      <c r="D54" s="1" t="s">
        <v>32</v>
      </c>
      <c r="E54" s="1" t="s">
        <v>7</v>
      </c>
      <c r="F54" s="1">
        <v>39356</v>
      </c>
      <c r="G54" s="1">
        <v>16</v>
      </c>
      <c r="H54" s="3">
        <v>45443.050833333327</v>
      </c>
      <c r="I54" s="1" t="s">
        <v>4</v>
      </c>
    </row>
    <row r="55" spans="1:9" x14ac:dyDescent="0.25">
      <c r="A55" s="1">
        <v>2054</v>
      </c>
      <c r="B55" s="1" t="s">
        <v>73</v>
      </c>
      <c r="C55" s="1" t="s">
        <v>6</v>
      </c>
      <c r="D55" s="1" t="s">
        <v>11</v>
      </c>
      <c r="E55" s="1" t="s">
        <v>22</v>
      </c>
      <c r="F55" s="1">
        <v>18558</v>
      </c>
      <c r="G55" s="1">
        <v>16</v>
      </c>
      <c r="H55" s="3">
        <v>45304.844004629631</v>
      </c>
      <c r="I55" s="1" t="s">
        <v>8</v>
      </c>
    </row>
    <row r="56" spans="1:9" x14ac:dyDescent="0.25">
      <c r="A56" s="1">
        <v>2055</v>
      </c>
      <c r="B56" s="1" t="s">
        <v>74</v>
      </c>
      <c r="C56" s="1" t="s">
        <v>20</v>
      </c>
      <c r="D56" s="1" t="s">
        <v>16</v>
      </c>
      <c r="E56" s="1" t="s">
        <v>7</v>
      </c>
      <c r="F56" s="1">
        <v>30840</v>
      </c>
      <c r="G56" s="1">
        <v>23</v>
      </c>
      <c r="H56" s="3">
        <v>45314.449467592603</v>
      </c>
      <c r="I56" s="1" t="s">
        <v>8</v>
      </c>
    </row>
    <row r="57" spans="1:9" x14ac:dyDescent="0.25">
      <c r="A57" s="1">
        <v>2056</v>
      </c>
      <c r="B57" s="1" t="s">
        <v>75</v>
      </c>
      <c r="C57" s="1" t="s">
        <v>10</v>
      </c>
      <c r="D57" s="1" t="s">
        <v>16</v>
      </c>
      <c r="E57" s="1" t="s">
        <v>17</v>
      </c>
      <c r="F57" s="1">
        <v>2603</v>
      </c>
      <c r="G57" s="1">
        <v>26</v>
      </c>
      <c r="H57" s="3">
        <v>45689.665092592593</v>
      </c>
      <c r="I57" s="1" t="s">
        <v>8</v>
      </c>
    </row>
    <row r="58" spans="1:9" x14ac:dyDescent="0.25">
      <c r="A58" s="1">
        <v>2057</v>
      </c>
      <c r="B58" s="1" t="s">
        <v>76</v>
      </c>
      <c r="C58" s="1" t="s">
        <v>20</v>
      </c>
      <c r="D58" s="1" t="s">
        <v>32</v>
      </c>
      <c r="E58" s="1" t="s">
        <v>22</v>
      </c>
      <c r="F58" s="1">
        <v>1487</v>
      </c>
      <c r="G58" s="1">
        <v>21</v>
      </c>
      <c r="H58" s="3">
        <v>45562.646574074082</v>
      </c>
      <c r="I58" s="1" t="s">
        <v>8</v>
      </c>
    </row>
    <row r="59" spans="1:9" x14ac:dyDescent="0.25">
      <c r="A59" s="1">
        <v>2058</v>
      </c>
      <c r="B59" s="1" t="s">
        <v>77</v>
      </c>
      <c r="C59" s="1" t="s">
        <v>46</v>
      </c>
      <c r="D59" s="1" t="s">
        <v>27</v>
      </c>
      <c r="E59" s="1" t="s">
        <v>22</v>
      </c>
      <c r="F59" s="1">
        <v>2336</v>
      </c>
      <c r="G59" s="1">
        <v>4</v>
      </c>
      <c r="H59" s="3">
        <v>45405.421539351853</v>
      </c>
      <c r="I59" s="1" t="s">
        <v>4</v>
      </c>
    </row>
    <row r="60" spans="1:9" x14ac:dyDescent="0.25">
      <c r="A60" s="1">
        <v>2059</v>
      </c>
      <c r="B60" s="1" t="s">
        <v>78</v>
      </c>
      <c r="C60" s="1" t="s">
        <v>6</v>
      </c>
      <c r="D60" s="1" t="s">
        <v>27</v>
      </c>
      <c r="E60" s="1" t="s">
        <v>17</v>
      </c>
      <c r="F60" s="1">
        <v>5409</v>
      </c>
      <c r="G60" s="1">
        <v>6</v>
      </c>
      <c r="H60" s="3">
        <v>45764.962222222217</v>
      </c>
      <c r="I60" s="1" t="s">
        <v>4</v>
      </c>
    </row>
    <row r="61" spans="1:9" x14ac:dyDescent="0.25">
      <c r="A61" s="1">
        <v>2060</v>
      </c>
      <c r="B61" s="1" t="s">
        <v>79</v>
      </c>
      <c r="C61" s="1" t="s">
        <v>46</v>
      </c>
      <c r="D61" s="1" t="s">
        <v>11</v>
      </c>
      <c r="E61" s="1" t="s">
        <v>3</v>
      </c>
      <c r="F61" s="1">
        <v>2869</v>
      </c>
      <c r="G61" s="1">
        <v>27</v>
      </c>
      <c r="H61" s="3">
        <v>45347.32608796296</v>
      </c>
      <c r="I61" s="1" t="s">
        <v>8</v>
      </c>
    </row>
    <row r="62" spans="1:9" x14ac:dyDescent="0.25">
      <c r="A62" s="1">
        <v>2061</v>
      </c>
      <c r="B62" s="1" t="s">
        <v>80</v>
      </c>
      <c r="C62" s="1" t="s">
        <v>1</v>
      </c>
      <c r="D62" s="1" t="s">
        <v>32</v>
      </c>
      <c r="E62" s="1" t="s">
        <v>12</v>
      </c>
      <c r="F62" s="1">
        <v>10763</v>
      </c>
      <c r="G62" s="1">
        <v>26</v>
      </c>
      <c r="H62" s="3">
        <v>45528.089456018519</v>
      </c>
      <c r="I62" s="1" t="s">
        <v>8</v>
      </c>
    </row>
    <row r="63" spans="1:9" x14ac:dyDescent="0.25">
      <c r="A63" s="1">
        <v>2062</v>
      </c>
      <c r="B63" s="1" t="s">
        <v>81</v>
      </c>
      <c r="C63" s="1" t="s">
        <v>10</v>
      </c>
      <c r="D63" s="1" t="s">
        <v>16</v>
      </c>
      <c r="E63" s="1" t="s">
        <v>17</v>
      </c>
      <c r="F63" s="1">
        <v>40268</v>
      </c>
      <c r="G63" s="1">
        <v>6</v>
      </c>
      <c r="H63" s="3">
        <v>45707.973715277767</v>
      </c>
      <c r="I63" s="1" t="s">
        <v>8</v>
      </c>
    </row>
    <row r="64" spans="1:9" x14ac:dyDescent="0.25">
      <c r="A64" s="1">
        <v>2063</v>
      </c>
      <c r="B64" s="1" t="s">
        <v>82</v>
      </c>
      <c r="C64" s="1" t="s">
        <v>6</v>
      </c>
      <c r="D64" s="1" t="s">
        <v>27</v>
      </c>
      <c r="E64" s="1" t="s">
        <v>17</v>
      </c>
      <c r="F64" s="1">
        <v>47366</v>
      </c>
      <c r="G64" s="1">
        <v>11</v>
      </c>
      <c r="H64" s="3">
        <v>45897.747129629628</v>
      </c>
      <c r="I64" s="1" t="s">
        <v>8</v>
      </c>
    </row>
    <row r="65" spans="1:9" x14ac:dyDescent="0.25">
      <c r="A65" s="1">
        <v>2064</v>
      </c>
      <c r="B65" s="1" t="s">
        <v>83</v>
      </c>
      <c r="C65" s="1" t="s">
        <v>41</v>
      </c>
      <c r="D65" s="1" t="s">
        <v>11</v>
      </c>
      <c r="E65" s="1" t="s">
        <v>17</v>
      </c>
      <c r="F65" s="1">
        <v>13733</v>
      </c>
      <c r="G65" s="1">
        <v>1</v>
      </c>
      <c r="H65" s="3">
        <v>45390.248344907413</v>
      </c>
      <c r="I65" s="1" t="s">
        <v>4</v>
      </c>
    </row>
    <row r="66" spans="1:9" x14ac:dyDescent="0.25">
      <c r="A66" s="1">
        <v>2065</v>
      </c>
      <c r="B66" s="1" t="s">
        <v>84</v>
      </c>
      <c r="C66" s="1" t="s">
        <v>46</v>
      </c>
      <c r="D66" s="1" t="s">
        <v>11</v>
      </c>
      <c r="E66" s="1" t="s">
        <v>22</v>
      </c>
      <c r="F66" s="1">
        <v>25691</v>
      </c>
      <c r="G66" s="1">
        <v>10</v>
      </c>
      <c r="H66" s="3">
        <v>45708.822256944448</v>
      </c>
      <c r="I66" s="1" t="s">
        <v>8</v>
      </c>
    </row>
    <row r="67" spans="1:9" x14ac:dyDescent="0.25">
      <c r="A67" s="1">
        <v>2066</v>
      </c>
      <c r="B67" s="1" t="s">
        <v>85</v>
      </c>
      <c r="C67" s="1" t="s">
        <v>1</v>
      </c>
      <c r="D67" s="1" t="s">
        <v>16</v>
      </c>
      <c r="E67" s="1" t="s">
        <v>22</v>
      </c>
      <c r="F67" s="1">
        <v>35618</v>
      </c>
      <c r="G67" s="1">
        <v>12</v>
      </c>
      <c r="H67" s="3">
        <v>45643.151643518519</v>
      </c>
      <c r="I67" s="1" t="s">
        <v>8</v>
      </c>
    </row>
    <row r="68" spans="1:9" x14ac:dyDescent="0.25">
      <c r="A68" s="1">
        <v>2067</v>
      </c>
      <c r="B68" s="1" t="s">
        <v>86</v>
      </c>
      <c r="C68" s="1" t="s">
        <v>46</v>
      </c>
      <c r="D68" s="1" t="s">
        <v>11</v>
      </c>
      <c r="E68" s="1" t="s">
        <v>12</v>
      </c>
      <c r="F68" s="1">
        <v>12014</v>
      </c>
      <c r="G68" s="1">
        <v>7</v>
      </c>
      <c r="H68" s="3">
        <v>45577.381874999999</v>
      </c>
      <c r="I68" s="1" t="s">
        <v>4</v>
      </c>
    </row>
    <row r="69" spans="1:9" x14ac:dyDescent="0.25">
      <c r="A69" s="1">
        <v>2068</v>
      </c>
      <c r="B69" s="1" t="s">
        <v>87</v>
      </c>
      <c r="C69" s="1" t="s">
        <v>14</v>
      </c>
      <c r="D69" s="1" t="s">
        <v>2</v>
      </c>
      <c r="E69" s="1" t="s">
        <v>17</v>
      </c>
      <c r="F69" s="1">
        <v>29875</v>
      </c>
      <c r="G69" s="1">
        <v>4</v>
      </c>
      <c r="H69" s="3">
        <v>45801.746469907397</v>
      </c>
      <c r="I69" s="1" t="s">
        <v>4</v>
      </c>
    </row>
    <row r="70" spans="1:9" x14ac:dyDescent="0.25">
      <c r="A70" s="1">
        <v>2069</v>
      </c>
      <c r="B70" s="1" t="s">
        <v>88</v>
      </c>
      <c r="C70" s="1" t="s">
        <v>41</v>
      </c>
      <c r="D70" s="1" t="s">
        <v>32</v>
      </c>
      <c r="E70" s="1" t="s">
        <v>7</v>
      </c>
      <c r="F70" s="1">
        <v>17338</v>
      </c>
      <c r="G70" s="1">
        <v>4</v>
      </c>
      <c r="H70" s="3">
        <v>45394.420138888891</v>
      </c>
      <c r="I70" s="1" t="s">
        <v>8</v>
      </c>
    </row>
    <row r="71" spans="1:9" x14ac:dyDescent="0.25">
      <c r="A71" s="1">
        <v>2070</v>
      </c>
      <c r="B71" s="1" t="s">
        <v>89</v>
      </c>
      <c r="C71" s="1" t="s">
        <v>46</v>
      </c>
      <c r="D71" s="1" t="s">
        <v>2</v>
      </c>
      <c r="E71" s="1" t="s">
        <v>17</v>
      </c>
      <c r="F71" s="1">
        <v>49921</v>
      </c>
      <c r="G71" s="1">
        <v>3</v>
      </c>
      <c r="H71" s="3">
        <v>45873.191747685189</v>
      </c>
      <c r="I71" s="1" t="s">
        <v>8</v>
      </c>
    </row>
    <row r="72" spans="1:9" x14ac:dyDescent="0.25">
      <c r="A72" s="1">
        <v>2071</v>
      </c>
      <c r="B72" s="1" t="s">
        <v>90</v>
      </c>
      <c r="C72" s="1" t="s">
        <v>10</v>
      </c>
      <c r="D72" s="1" t="s">
        <v>2</v>
      </c>
      <c r="E72" s="1" t="s">
        <v>7</v>
      </c>
      <c r="F72" s="1">
        <v>46359</v>
      </c>
      <c r="G72" s="1">
        <v>5</v>
      </c>
      <c r="H72" s="3">
        <v>45809.110092592593</v>
      </c>
      <c r="I72" s="1" t="s">
        <v>8</v>
      </c>
    </row>
    <row r="73" spans="1:9" x14ac:dyDescent="0.25">
      <c r="A73" s="1">
        <v>2072</v>
      </c>
      <c r="B73" s="1" t="s">
        <v>91</v>
      </c>
      <c r="C73" s="1" t="s">
        <v>1</v>
      </c>
      <c r="D73" s="1" t="s">
        <v>32</v>
      </c>
      <c r="E73" s="1" t="s">
        <v>12</v>
      </c>
      <c r="F73" s="1">
        <v>7837</v>
      </c>
      <c r="G73" s="1">
        <v>1</v>
      </c>
      <c r="H73" s="3">
        <v>45568.909861111111</v>
      </c>
      <c r="I73" s="1" t="s">
        <v>8</v>
      </c>
    </row>
    <row r="74" spans="1:9" x14ac:dyDescent="0.25">
      <c r="A74" s="1">
        <v>2073</v>
      </c>
      <c r="B74" s="1" t="s">
        <v>92</v>
      </c>
      <c r="C74" s="1" t="s">
        <v>46</v>
      </c>
      <c r="D74" s="1" t="s">
        <v>27</v>
      </c>
      <c r="E74" s="1" t="s">
        <v>29</v>
      </c>
      <c r="F74" s="1">
        <v>40408</v>
      </c>
      <c r="G74" s="1">
        <v>12</v>
      </c>
      <c r="H74" s="3">
        <v>45319.047569444447</v>
      </c>
      <c r="I74" s="1" t="s">
        <v>8</v>
      </c>
    </row>
    <row r="75" spans="1:9" x14ac:dyDescent="0.25">
      <c r="A75" s="1">
        <v>2074</v>
      </c>
      <c r="B75" s="1" t="s">
        <v>93</v>
      </c>
      <c r="C75" s="1" t="s">
        <v>10</v>
      </c>
      <c r="D75" s="1" t="s">
        <v>27</v>
      </c>
      <c r="E75" s="1" t="s">
        <v>22</v>
      </c>
      <c r="F75" s="1">
        <v>32933</v>
      </c>
      <c r="G75" s="1">
        <v>20</v>
      </c>
      <c r="H75" s="3">
        <v>45847.098773148151</v>
      </c>
      <c r="I75" s="1" t="s">
        <v>8</v>
      </c>
    </row>
    <row r="76" spans="1:9" x14ac:dyDescent="0.25">
      <c r="A76" s="1">
        <v>2075</v>
      </c>
      <c r="B76" s="1" t="s">
        <v>94</v>
      </c>
      <c r="C76" s="1" t="s">
        <v>14</v>
      </c>
      <c r="D76" s="1" t="s">
        <v>2</v>
      </c>
      <c r="E76" s="1" t="s">
        <v>12</v>
      </c>
      <c r="F76" s="1">
        <v>1200</v>
      </c>
      <c r="G76" s="1">
        <v>18</v>
      </c>
      <c r="H76" s="3">
        <v>45747.712453703702</v>
      </c>
      <c r="I76" s="1" t="s">
        <v>4</v>
      </c>
    </row>
    <row r="77" spans="1:9" x14ac:dyDescent="0.25">
      <c r="A77" s="1">
        <v>2076</v>
      </c>
      <c r="B77" s="1" t="s">
        <v>95</v>
      </c>
      <c r="C77" s="1" t="s">
        <v>46</v>
      </c>
      <c r="D77" s="1" t="s">
        <v>16</v>
      </c>
      <c r="E77" s="1" t="s">
        <v>29</v>
      </c>
      <c r="F77" s="1">
        <v>12273</v>
      </c>
      <c r="G77" s="1">
        <v>27</v>
      </c>
      <c r="H77" s="3">
        <v>45743.321631944447</v>
      </c>
      <c r="I77" s="1" t="s">
        <v>4</v>
      </c>
    </row>
    <row r="78" spans="1:9" x14ac:dyDescent="0.25">
      <c r="A78" s="1">
        <v>2077</v>
      </c>
      <c r="B78" s="1" t="s">
        <v>96</v>
      </c>
      <c r="C78" s="1" t="s">
        <v>10</v>
      </c>
      <c r="D78" s="1" t="s">
        <v>11</v>
      </c>
      <c r="E78" s="1" t="s">
        <v>29</v>
      </c>
      <c r="F78" s="1">
        <v>4652</v>
      </c>
      <c r="G78" s="1">
        <v>24</v>
      </c>
      <c r="H78" s="3">
        <v>45501.588703703703</v>
      </c>
      <c r="I78" s="1" t="s">
        <v>8</v>
      </c>
    </row>
    <row r="79" spans="1:9" x14ac:dyDescent="0.25">
      <c r="A79" s="1">
        <v>2078</v>
      </c>
      <c r="B79" s="1" t="s">
        <v>97</v>
      </c>
      <c r="C79" s="1" t="s">
        <v>41</v>
      </c>
      <c r="D79" s="1" t="s">
        <v>27</v>
      </c>
      <c r="E79" s="1" t="s">
        <v>3</v>
      </c>
      <c r="F79" s="1">
        <v>43610</v>
      </c>
      <c r="G79" s="1">
        <v>25</v>
      </c>
      <c r="H79" s="3">
        <v>45523.624594907407</v>
      </c>
      <c r="I79" s="1" t="s">
        <v>4</v>
      </c>
    </row>
    <row r="80" spans="1:9" x14ac:dyDescent="0.25">
      <c r="A80" s="1">
        <v>2079</v>
      </c>
      <c r="B80" s="1" t="s">
        <v>98</v>
      </c>
      <c r="C80" s="1" t="s">
        <v>14</v>
      </c>
      <c r="D80" s="1" t="s">
        <v>32</v>
      </c>
      <c r="E80" s="1" t="s">
        <v>7</v>
      </c>
      <c r="F80" s="1">
        <v>27305</v>
      </c>
      <c r="G80" s="1">
        <v>6</v>
      </c>
      <c r="H80" s="3">
        <v>45723.633750000001</v>
      </c>
      <c r="I80" s="1" t="s">
        <v>4</v>
      </c>
    </row>
    <row r="81" spans="1:9" x14ac:dyDescent="0.25">
      <c r="A81" s="1">
        <v>2080</v>
      </c>
      <c r="B81" s="1" t="s">
        <v>99</v>
      </c>
      <c r="C81" s="1" t="s">
        <v>46</v>
      </c>
      <c r="D81" s="1" t="s">
        <v>27</v>
      </c>
      <c r="E81" s="1" t="s">
        <v>3</v>
      </c>
      <c r="F81" s="1">
        <v>22280</v>
      </c>
      <c r="G81" s="1">
        <v>30</v>
      </c>
      <c r="H81" s="3">
        <v>45466.195983796293</v>
      </c>
      <c r="I81" s="1" t="s">
        <v>8</v>
      </c>
    </row>
    <row r="82" spans="1:9" x14ac:dyDescent="0.25">
      <c r="A82" s="1">
        <v>2081</v>
      </c>
      <c r="B82" s="1" t="s">
        <v>100</v>
      </c>
      <c r="C82" s="1" t="s">
        <v>6</v>
      </c>
      <c r="D82" s="1" t="s">
        <v>16</v>
      </c>
      <c r="E82" s="1" t="s">
        <v>17</v>
      </c>
      <c r="F82" s="1">
        <v>40522</v>
      </c>
      <c r="G82" s="1">
        <v>18</v>
      </c>
      <c r="H82" s="3">
        <v>45373.948553240742</v>
      </c>
      <c r="I82" s="1" t="s">
        <v>8</v>
      </c>
    </row>
    <row r="83" spans="1:9" x14ac:dyDescent="0.25">
      <c r="A83" s="1">
        <v>2082</v>
      </c>
      <c r="B83" s="1" t="s">
        <v>101</v>
      </c>
      <c r="C83" s="1" t="s">
        <v>6</v>
      </c>
      <c r="D83" s="1" t="s">
        <v>11</v>
      </c>
      <c r="E83" s="1" t="s">
        <v>17</v>
      </c>
      <c r="F83" s="1">
        <v>32415</v>
      </c>
      <c r="G83" s="1">
        <v>14</v>
      </c>
      <c r="H83" s="3">
        <v>45486.872847222221</v>
      </c>
      <c r="I83" s="1" t="s">
        <v>8</v>
      </c>
    </row>
    <row r="84" spans="1:9" x14ac:dyDescent="0.25">
      <c r="A84" s="1">
        <v>2083</v>
      </c>
      <c r="B84" s="1" t="s">
        <v>102</v>
      </c>
      <c r="C84" s="1" t="s">
        <v>14</v>
      </c>
      <c r="D84" s="1" t="s">
        <v>2</v>
      </c>
      <c r="E84" s="1" t="s">
        <v>29</v>
      </c>
      <c r="F84" s="1">
        <v>35421</v>
      </c>
      <c r="G84" s="1">
        <v>12</v>
      </c>
      <c r="H84" s="3">
        <v>45406.205787037034</v>
      </c>
      <c r="I84" s="1" t="s">
        <v>8</v>
      </c>
    </row>
    <row r="85" spans="1:9" x14ac:dyDescent="0.25">
      <c r="A85" s="1">
        <v>2084</v>
      </c>
      <c r="B85" s="1" t="s">
        <v>103</v>
      </c>
      <c r="C85" s="1" t="s">
        <v>6</v>
      </c>
      <c r="D85" s="1" t="s">
        <v>2</v>
      </c>
      <c r="E85" s="1" t="s">
        <v>12</v>
      </c>
      <c r="F85" s="1">
        <v>39629</v>
      </c>
      <c r="G85" s="1">
        <v>16</v>
      </c>
      <c r="H85" s="3">
        <v>45822.060474537036</v>
      </c>
      <c r="I85" s="1" t="s">
        <v>8</v>
      </c>
    </row>
    <row r="86" spans="1:9" x14ac:dyDescent="0.25">
      <c r="A86" s="1">
        <v>2085</v>
      </c>
      <c r="B86" s="1" t="s">
        <v>104</v>
      </c>
      <c r="C86" s="1" t="s">
        <v>41</v>
      </c>
      <c r="D86" s="1" t="s">
        <v>2</v>
      </c>
      <c r="E86" s="1" t="s">
        <v>3</v>
      </c>
      <c r="F86" s="1">
        <v>5451</v>
      </c>
      <c r="G86" s="1">
        <v>1</v>
      </c>
      <c r="H86" s="3">
        <v>45314.413391203707</v>
      </c>
      <c r="I86" s="1" t="s">
        <v>4</v>
      </c>
    </row>
    <row r="87" spans="1:9" x14ac:dyDescent="0.25">
      <c r="A87" s="1">
        <v>2086</v>
      </c>
      <c r="B87" s="1" t="s">
        <v>105</v>
      </c>
      <c r="C87" s="1" t="s">
        <v>20</v>
      </c>
      <c r="D87" s="1" t="s">
        <v>2</v>
      </c>
      <c r="E87" s="1" t="s">
        <v>22</v>
      </c>
      <c r="F87" s="1">
        <v>44894</v>
      </c>
      <c r="G87" s="1">
        <v>2</v>
      </c>
      <c r="H87" s="3">
        <v>45824.510474537034</v>
      </c>
      <c r="I87" s="1" t="s">
        <v>4</v>
      </c>
    </row>
    <row r="88" spans="1:9" x14ac:dyDescent="0.25">
      <c r="A88" s="1">
        <v>2087</v>
      </c>
      <c r="B88" s="1" t="s">
        <v>106</v>
      </c>
      <c r="C88" s="1" t="s">
        <v>20</v>
      </c>
      <c r="D88" s="1" t="s">
        <v>2</v>
      </c>
      <c r="E88" s="1" t="s">
        <v>7</v>
      </c>
      <c r="F88" s="1">
        <v>5606</v>
      </c>
      <c r="G88" s="1">
        <v>19</v>
      </c>
      <c r="H88" s="3">
        <v>45432.903553240743</v>
      </c>
      <c r="I88" s="1" t="s">
        <v>4</v>
      </c>
    </row>
    <row r="89" spans="1:9" x14ac:dyDescent="0.25">
      <c r="A89" s="1">
        <v>2088</v>
      </c>
      <c r="B89" s="1" t="s">
        <v>107</v>
      </c>
      <c r="C89" s="1" t="s">
        <v>1</v>
      </c>
      <c r="D89" s="1" t="s">
        <v>16</v>
      </c>
      <c r="E89" s="1" t="s">
        <v>3</v>
      </c>
      <c r="F89" s="1">
        <v>47825</v>
      </c>
      <c r="G89" s="1">
        <v>12</v>
      </c>
      <c r="H89" s="3">
        <v>45424.466643518521</v>
      </c>
      <c r="I89" s="1" t="s">
        <v>8</v>
      </c>
    </row>
    <row r="90" spans="1:9" x14ac:dyDescent="0.25">
      <c r="A90" s="1">
        <v>2089</v>
      </c>
      <c r="B90" s="1" t="s">
        <v>108</v>
      </c>
      <c r="C90" s="1" t="s">
        <v>14</v>
      </c>
      <c r="D90" s="1" t="s">
        <v>11</v>
      </c>
      <c r="E90" s="1" t="s">
        <v>7</v>
      </c>
      <c r="F90" s="1">
        <v>37750</v>
      </c>
      <c r="G90" s="1">
        <v>12</v>
      </c>
      <c r="H90" s="3">
        <v>45366.813159722216</v>
      </c>
      <c r="I90" s="1" t="s">
        <v>8</v>
      </c>
    </row>
    <row r="91" spans="1:9" x14ac:dyDescent="0.25">
      <c r="A91" s="1">
        <v>2090</v>
      </c>
      <c r="B91" s="1" t="s">
        <v>109</v>
      </c>
      <c r="C91" s="1" t="s">
        <v>41</v>
      </c>
      <c r="D91" s="1" t="s">
        <v>27</v>
      </c>
      <c r="E91" s="1" t="s">
        <v>29</v>
      </c>
      <c r="F91" s="1">
        <v>29411</v>
      </c>
      <c r="G91" s="1">
        <v>9</v>
      </c>
      <c r="H91" s="3">
        <v>45816.10533564815</v>
      </c>
      <c r="I91" s="1" t="s">
        <v>4</v>
      </c>
    </row>
    <row r="92" spans="1:9" x14ac:dyDescent="0.25">
      <c r="A92" s="1">
        <v>2091</v>
      </c>
      <c r="B92" s="1" t="s">
        <v>110</v>
      </c>
      <c r="C92" s="1" t="s">
        <v>1</v>
      </c>
      <c r="D92" s="1" t="s">
        <v>2</v>
      </c>
      <c r="E92" s="1" t="s">
        <v>12</v>
      </c>
      <c r="F92" s="1">
        <v>49031</v>
      </c>
      <c r="G92" s="1">
        <v>16</v>
      </c>
      <c r="H92" s="3">
        <v>45368.849212962959</v>
      </c>
      <c r="I92" s="1" t="s">
        <v>4</v>
      </c>
    </row>
    <row r="93" spans="1:9" x14ac:dyDescent="0.25">
      <c r="A93" s="1">
        <v>2092</v>
      </c>
      <c r="B93" s="1" t="s">
        <v>111</v>
      </c>
      <c r="C93" s="1" t="s">
        <v>46</v>
      </c>
      <c r="D93" s="1" t="s">
        <v>16</v>
      </c>
      <c r="E93" s="1" t="s">
        <v>22</v>
      </c>
      <c r="F93" s="1">
        <v>15354</v>
      </c>
      <c r="G93" s="1">
        <v>28</v>
      </c>
      <c r="H93" s="3">
        <v>45513.399444444447</v>
      </c>
      <c r="I93" s="1" t="s">
        <v>4</v>
      </c>
    </row>
    <row r="94" spans="1:9" x14ac:dyDescent="0.25">
      <c r="A94" s="1">
        <v>2093</v>
      </c>
      <c r="B94" s="1" t="s">
        <v>112</v>
      </c>
      <c r="C94" s="1" t="s">
        <v>41</v>
      </c>
      <c r="D94" s="1" t="s">
        <v>11</v>
      </c>
      <c r="E94" s="1" t="s">
        <v>29</v>
      </c>
      <c r="F94" s="1">
        <v>46897</v>
      </c>
      <c r="G94" s="1">
        <v>29</v>
      </c>
      <c r="H94" s="3">
        <v>45758.589629629627</v>
      </c>
      <c r="I94" s="1" t="s">
        <v>8</v>
      </c>
    </row>
    <row r="95" spans="1:9" x14ac:dyDescent="0.25">
      <c r="A95" s="1">
        <v>2094</v>
      </c>
      <c r="B95" s="1" t="s">
        <v>113</v>
      </c>
      <c r="C95" s="1" t="s">
        <v>6</v>
      </c>
      <c r="D95" s="1" t="s">
        <v>11</v>
      </c>
      <c r="E95" s="1" t="s">
        <v>12</v>
      </c>
      <c r="F95" s="1">
        <v>33543</v>
      </c>
      <c r="G95" s="1">
        <v>6</v>
      </c>
      <c r="H95" s="3">
        <v>45866.964131944442</v>
      </c>
      <c r="I95" s="1" t="s">
        <v>4</v>
      </c>
    </row>
    <row r="96" spans="1:9" x14ac:dyDescent="0.25">
      <c r="A96" s="1">
        <v>2095</v>
      </c>
      <c r="B96" s="1" t="s">
        <v>114</v>
      </c>
      <c r="C96" s="1" t="s">
        <v>14</v>
      </c>
      <c r="D96" s="1" t="s">
        <v>32</v>
      </c>
      <c r="E96" s="1" t="s">
        <v>3</v>
      </c>
      <c r="F96" s="1">
        <v>23356</v>
      </c>
      <c r="G96" s="1">
        <v>27</v>
      </c>
      <c r="H96" s="3">
        <v>45321.513622685183</v>
      </c>
      <c r="I96" s="1" t="s">
        <v>4</v>
      </c>
    </row>
    <row r="97" spans="1:9" x14ac:dyDescent="0.25">
      <c r="A97" s="1">
        <v>2096</v>
      </c>
      <c r="B97" s="1" t="s">
        <v>115</v>
      </c>
      <c r="C97" s="1" t="s">
        <v>46</v>
      </c>
      <c r="D97" s="1" t="s">
        <v>27</v>
      </c>
      <c r="E97" s="1" t="s">
        <v>3</v>
      </c>
      <c r="F97" s="1">
        <v>6246</v>
      </c>
      <c r="G97" s="1">
        <v>10</v>
      </c>
      <c r="H97" s="3">
        <v>45442.884305555563</v>
      </c>
      <c r="I97" s="1" t="s">
        <v>4</v>
      </c>
    </row>
    <row r="98" spans="1:9" x14ac:dyDescent="0.25">
      <c r="A98" s="1">
        <v>2097</v>
      </c>
      <c r="B98" s="1" t="s">
        <v>116</v>
      </c>
      <c r="C98" s="1" t="s">
        <v>10</v>
      </c>
      <c r="D98" s="1" t="s">
        <v>11</v>
      </c>
      <c r="E98" s="1" t="s">
        <v>12</v>
      </c>
      <c r="F98" s="1">
        <v>8506</v>
      </c>
      <c r="G98" s="1">
        <v>21</v>
      </c>
      <c r="H98" s="3">
        <v>45447.144814814812</v>
      </c>
      <c r="I98" s="1" t="s">
        <v>4</v>
      </c>
    </row>
    <row r="99" spans="1:9" x14ac:dyDescent="0.25">
      <c r="A99" s="1">
        <v>2098</v>
      </c>
      <c r="B99" s="1" t="s">
        <v>117</v>
      </c>
      <c r="C99" s="1" t="s">
        <v>46</v>
      </c>
      <c r="D99" s="1" t="s">
        <v>2</v>
      </c>
      <c r="E99" s="1" t="s">
        <v>12</v>
      </c>
      <c r="F99" s="1">
        <v>12688</v>
      </c>
      <c r="G99" s="1">
        <v>1</v>
      </c>
      <c r="H99" s="3">
        <v>45301.45820601852</v>
      </c>
      <c r="I99" s="1" t="s">
        <v>4</v>
      </c>
    </row>
    <row r="100" spans="1:9" x14ac:dyDescent="0.25">
      <c r="A100" s="1">
        <v>2099</v>
      </c>
      <c r="B100" s="1" t="s">
        <v>118</v>
      </c>
      <c r="C100" s="1" t="s">
        <v>20</v>
      </c>
      <c r="D100" s="1" t="s">
        <v>16</v>
      </c>
      <c r="E100" s="1" t="s">
        <v>29</v>
      </c>
      <c r="F100" s="1">
        <v>12976</v>
      </c>
      <c r="G100" s="1">
        <v>22</v>
      </c>
      <c r="H100" s="3">
        <v>45478.865590277783</v>
      </c>
      <c r="I100" s="1" t="s">
        <v>8</v>
      </c>
    </row>
    <row r="101" spans="1:9" x14ac:dyDescent="0.25">
      <c r="A101" s="1">
        <v>2100</v>
      </c>
      <c r="B101" s="1" t="s">
        <v>119</v>
      </c>
      <c r="C101" s="1" t="s">
        <v>41</v>
      </c>
      <c r="D101" s="1" t="s">
        <v>32</v>
      </c>
      <c r="E101" s="1" t="s">
        <v>29</v>
      </c>
      <c r="F101" s="1">
        <v>49708</v>
      </c>
      <c r="G101" s="1">
        <v>19</v>
      </c>
      <c r="H101" s="3">
        <v>45602.045601851853</v>
      </c>
      <c r="I101" s="1" t="s">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D04C-2259-4204-9F30-71DE6EB60F4F}">
  <sheetPr codeName="Sheet2"/>
  <dimension ref="A3:B9"/>
  <sheetViews>
    <sheetView workbookViewId="0">
      <selection activeCell="C8" sqref="C8"/>
    </sheetView>
  </sheetViews>
  <sheetFormatPr defaultRowHeight="15" x14ac:dyDescent="0.25"/>
  <cols>
    <col min="1" max="1" width="22.85546875" bestFit="1" customWidth="1"/>
    <col min="2" max="2" width="8" bestFit="1" customWidth="1"/>
    <col min="3" max="3" width="19" bestFit="1" customWidth="1"/>
    <col min="4" max="4" width="12.42578125" bestFit="1" customWidth="1"/>
    <col min="5" max="5" width="23" bestFit="1" customWidth="1"/>
    <col min="6" max="6" width="14.85546875" bestFit="1" customWidth="1"/>
    <col min="7" max="7" width="8.42578125" bestFit="1" customWidth="1"/>
    <col min="8" max="8" width="7" bestFit="1" customWidth="1"/>
    <col min="9" max="9" width="11.28515625" bestFit="1" customWidth="1"/>
  </cols>
  <sheetData>
    <row r="3" spans="1:2" x14ac:dyDescent="0.25">
      <c r="A3" s="6" t="s">
        <v>142</v>
      </c>
    </row>
    <row r="4" spans="1:2" x14ac:dyDescent="0.25">
      <c r="A4" s="7" t="s">
        <v>139</v>
      </c>
      <c r="B4" s="9">
        <v>51</v>
      </c>
    </row>
    <row r="5" spans="1:2" x14ac:dyDescent="0.25">
      <c r="A5" s="7" t="s">
        <v>140</v>
      </c>
      <c r="B5" s="9">
        <v>51</v>
      </c>
    </row>
    <row r="6" spans="1:2" x14ac:dyDescent="0.25">
      <c r="A6" s="7" t="s">
        <v>141</v>
      </c>
      <c r="B6" s="9">
        <v>51</v>
      </c>
    </row>
    <row r="7" spans="1:2" x14ac:dyDescent="0.25">
      <c r="A7" s="7" t="s">
        <v>138</v>
      </c>
      <c r="B7" s="9">
        <v>51</v>
      </c>
    </row>
    <row r="8" spans="1:2" x14ac:dyDescent="0.25">
      <c r="A8" s="7" t="s">
        <v>143</v>
      </c>
      <c r="B8" s="9">
        <v>51</v>
      </c>
    </row>
    <row r="9" spans="1:2" x14ac:dyDescent="0.25">
      <c r="A9" s="7" t="s">
        <v>137</v>
      </c>
      <c r="B9" s="9">
        <v>1250987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BFDED-2616-405C-93A9-D1F8DAD6B420}">
  <sheetPr codeName="Sheet3"/>
  <dimension ref="A3:D9"/>
  <sheetViews>
    <sheetView workbookViewId="0">
      <selection activeCell="E17" sqref="E17"/>
    </sheetView>
  </sheetViews>
  <sheetFormatPr defaultRowHeight="15" x14ac:dyDescent="0.25"/>
  <cols>
    <col min="1" max="1" width="13.140625" bestFit="1" customWidth="1"/>
    <col min="2" max="2" width="15.85546875" bestFit="1" customWidth="1"/>
    <col min="3" max="3" width="19" bestFit="1" customWidth="1"/>
    <col min="4" max="4" width="14.85546875" bestFit="1" customWidth="1"/>
  </cols>
  <sheetData>
    <row r="3" spans="1:4" x14ac:dyDescent="0.25">
      <c r="A3" s="6" t="s">
        <v>129</v>
      </c>
      <c r="B3" s="2" t="s">
        <v>145</v>
      </c>
      <c r="C3" s="2" t="s">
        <v>144</v>
      </c>
      <c r="D3" s="2" t="s">
        <v>137</v>
      </c>
    </row>
    <row r="4" spans="1:4" x14ac:dyDescent="0.25">
      <c r="A4" s="7" t="s">
        <v>7</v>
      </c>
      <c r="B4" s="9">
        <v>34699</v>
      </c>
      <c r="C4" s="10">
        <v>262</v>
      </c>
      <c r="D4" s="11">
        <v>351202</v>
      </c>
    </row>
    <row r="5" spans="1:4" x14ac:dyDescent="0.25">
      <c r="A5" s="7" t="s">
        <v>29</v>
      </c>
      <c r="B5" s="9">
        <v>30904</v>
      </c>
      <c r="C5" s="10">
        <v>273</v>
      </c>
      <c r="D5" s="11">
        <v>419557</v>
      </c>
    </row>
    <row r="6" spans="1:4" x14ac:dyDescent="0.25">
      <c r="A6" s="7" t="s">
        <v>12</v>
      </c>
      <c r="B6" s="9">
        <v>28844</v>
      </c>
      <c r="C6" s="10">
        <v>148</v>
      </c>
      <c r="D6" s="11">
        <v>331937</v>
      </c>
    </row>
    <row r="7" spans="1:4" x14ac:dyDescent="0.25">
      <c r="A7" s="7" t="s">
        <v>17</v>
      </c>
      <c r="B7" s="9">
        <v>34834</v>
      </c>
      <c r="C7" s="10">
        <v>209</v>
      </c>
      <c r="D7" s="11">
        <v>454176</v>
      </c>
    </row>
    <row r="8" spans="1:4" x14ac:dyDescent="0.25">
      <c r="A8" s="7" t="s">
        <v>22</v>
      </c>
      <c r="B8" s="9">
        <v>34821</v>
      </c>
      <c r="C8" s="10">
        <v>239</v>
      </c>
      <c r="D8" s="11">
        <v>407950</v>
      </c>
    </row>
    <row r="9" spans="1:4" x14ac:dyDescent="0.25">
      <c r="A9" s="7" t="s">
        <v>3</v>
      </c>
      <c r="B9" s="9">
        <v>40948</v>
      </c>
      <c r="C9" s="10">
        <v>323</v>
      </c>
      <c r="D9" s="11">
        <v>488332</v>
      </c>
    </row>
  </sheetData>
  <conditionalFormatting pivot="1" sqref="B4:B9">
    <cfRule type="dataBar" priority="3">
      <dataBar>
        <cfvo type="min"/>
        <cfvo type="max"/>
        <color rgb="FFD6007B"/>
      </dataBar>
      <extLst>
        <ext xmlns:x14="http://schemas.microsoft.com/office/spreadsheetml/2009/9/main" uri="{B025F937-C7B1-47D3-B67F-A62EFF666E3E}">
          <x14:id>{0CFEBBD1-CD42-47C2-AAA9-59C2AC0D576E}</x14:id>
        </ext>
      </extLst>
    </cfRule>
  </conditionalFormatting>
  <conditionalFormatting pivot="1" sqref="C4:C9">
    <cfRule type="dataBar" priority="2">
      <dataBar>
        <cfvo type="min"/>
        <cfvo type="max"/>
        <color rgb="FF63C384"/>
      </dataBar>
      <extLst>
        <ext xmlns:x14="http://schemas.microsoft.com/office/spreadsheetml/2009/9/main" uri="{B025F937-C7B1-47D3-B67F-A62EFF666E3E}">
          <x14:id>{49BEDE51-2598-4F8E-9F2C-01A6655BC6C2}</x14:id>
        </ext>
      </extLst>
    </cfRule>
  </conditionalFormatting>
  <conditionalFormatting pivot="1" sqref="D4:D9">
    <cfRule type="dataBar" priority="1">
      <dataBar>
        <cfvo type="min"/>
        <cfvo type="max"/>
        <color rgb="FF638EC6"/>
      </dataBar>
      <extLst>
        <ext xmlns:x14="http://schemas.microsoft.com/office/spreadsheetml/2009/9/main" uri="{B025F937-C7B1-47D3-B67F-A62EFF666E3E}">
          <x14:id>{4D3C783B-6594-4EF8-8ADE-E613AB99A830}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CFEBBD1-CD42-47C2-AAA9-59C2AC0D576E}">
            <x14:dataBar minLength="0" maxLength="100" gradient="0">
              <x14:cfvo type="autoMin"/>
              <x14:cfvo type="autoMax"/>
              <x14:negativeFillColor rgb="FFFF0000"/>
              <x14:axisColor rgb="FF000000"/>
            </x14:dataBar>
          </x14:cfRule>
          <xm:sqref>B4:B9</xm:sqref>
        </x14:conditionalFormatting>
        <x14:conditionalFormatting xmlns:xm="http://schemas.microsoft.com/office/excel/2006/main" pivot="1">
          <x14:cfRule type="dataBar" id="{49BEDE51-2598-4F8E-9F2C-01A6655BC6C2}">
            <x14:dataBar minLength="0" maxLength="100" gradient="0">
              <x14:cfvo type="autoMin"/>
              <x14:cfvo type="autoMax"/>
              <x14:negativeFillColor rgb="FFFF0000"/>
              <x14:axisColor rgb="FF000000"/>
            </x14:dataBar>
          </x14:cfRule>
          <xm:sqref>C4:C9</xm:sqref>
        </x14:conditionalFormatting>
        <x14:conditionalFormatting xmlns:xm="http://schemas.microsoft.com/office/excel/2006/main" pivot="1">
          <x14:cfRule type="dataBar" id="{4D3C783B-6594-4EF8-8ADE-E613AB99A830}">
            <x14:dataBar minLength="0" maxLength="100" gradient="0">
              <x14:cfvo type="autoMin"/>
              <x14:cfvo type="autoMax"/>
              <x14:negativeFillColor rgb="FFFF0000"/>
              <x14:axisColor rgb="FF000000"/>
            </x14:dataBar>
          </x14:cfRule>
          <xm:sqref>D4:D9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76087-E47E-46B2-8301-F1480CC36209}">
  <sheetPr codeName="Sheet4"/>
  <dimension ref="A3:B13"/>
  <sheetViews>
    <sheetView workbookViewId="0">
      <selection activeCell="D4" sqref="D4"/>
    </sheetView>
  </sheetViews>
  <sheetFormatPr defaultRowHeight="15" x14ac:dyDescent="0.25"/>
  <cols>
    <col min="1" max="1" width="13.140625" bestFit="1" customWidth="1"/>
    <col min="2" max="2" width="19" bestFit="1" customWidth="1"/>
  </cols>
  <sheetData>
    <row r="3" spans="1:2" x14ac:dyDescent="0.25">
      <c r="A3" s="6" t="s">
        <v>129</v>
      </c>
      <c r="B3" t="s">
        <v>144</v>
      </c>
    </row>
    <row r="4" spans="1:2" x14ac:dyDescent="0.25">
      <c r="A4" s="7" t="s">
        <v>131</v>
      </c>
      <c r="B4" s="9"/>
    </row>
    <row r="5" spans="1:2" x14ac:dyDescent="0.25">
      <c r="A5" s="8" t="s">
        <v>132</v>
      </c>
      <c r="B5" s="9">
        <v>289</v>
      </c>
    </row>
    <row r="6" spans="1:2" x14ac:dyDescent="0.25">
      <c r="A6" s="8" t="s">
        <v>133</v>
      </c>
      <c r="B6" s="9">
        <v>230</v>
      </c>
    </row>
    <row r="7" spans="1:2" x14ac:dyDescent="0.25">
      <c r="A7" s="8" t="s">
        <v>134</v>
      </c>
      <c r="B7" s="9">
        <v>299</v>
      </c>
    </row>
    <row r="8" spans="1:2" x14ac:dyDescent="0.25">
      <c r="A8" s="8" t="s">
        <v>135</v>
      </c>
      <c r="B8" s="9">
        <v>173</v>
      </c>
    </row>
    <row r="9" spans="1:2" x14ac:dyDescent="0.25">
      <c r="A9" s="7" t="s">
        <v>136</v>
      </c>
      <c r="B9" s="9"/>
    </row>
    <row r="10" spans="1:2" x14ac:dyDescent="0.25">
      <c r="A10" s="8" t="s">
        <v>132</v>
      </c>
      <c r="B10" s="9">
        <v>192</v>
      </c>
    </row>
    <row r="11" spans="1:2" x14ac:dyDescent="0.25">
      <c r="A11" s="8" t="s">
        <v>133</v>
      </c>
      <c r="B11" s="9">
        <v>190</v>
      </c>
    </row>
    <row r="12" spans="1:2" x14ac:dyDescent="0.25">
      <c r="A12" s="8" t="s">
        <v>134</v>
      </c>
      <c r="B12" s="9">
        <v>81</v>
      </c>
    </row>
    <row r="13" spans="1:2" x14ac:dyDescent="0.25">
      <c r="A13" s="7" t="s">
        <v>130</v>
      </c>
      <c r="B13" s="9">
        <v>1454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1D3B3-9E62-4A8E-88E5-68861F8CDD87}">
  <sheetPr codeName="Sheet5"/>
  <dimension ref="A3:L5"/>
  <sheetViews>
    <sheetView workbookViewId="0">
      <selection activeCell="M10" sqref="M10"/>
    </sheetView>
  </sheetViews>
  <sheetFormatPr defaultRowHeight="15" x14ac:dyDescent="0.25"/>
  <cols>
    <col min="1" max="1" width="13.140625" bestFit="1" customWidth="1"/>
    <col min="2" max="2" width="19" bestFit="1" customWidth="1"/>
    <col min="3" max="3" width="14.85546875" bestFit="1" customWidth="1"/>
  </cols>
  <sheetData>
    <row r="3" spans="1:12" x14ac:dyDescent="0.25">
      <c r="A3" s="6" t="s">
        <v>129</v>
      </c>
      <c r="B3" s="2" t="s">
        <v>144</v>
      </c>
      <c r="C3" s="2" t="s">
        <v>137</v>
      </c>
    </row>
    <row r="4" spans="1:12" x14ac:dyDescent="0.25">
      <c r="A4" s="7" t="s">
        <v>131</v>
      </c>
      <c r="B4" s="9">
        <v>991</v>
      </c>
      <c r="C4" s="9">
        <v>1440914</v>
      </c>
      <c r="L4" s="2"/>
    </row>
    <row r="5" spans="1:12" x14ac:dyDescent="0.25">
      <c r="A5" s="7" t="s">
        <v>136</v>
      </c>
      <c r="B5" s="9">
        <v>463</v>
      </c>
      <c r="C5" s="9">
        <v>1012240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C43E-668E-49CD-97EE-ACFB51E7B2FD}">
  <sheetPr codeName="Sheet6"/>
  <dimension ref="A3:B6"/>
  <sheetViews>
    <sheetView workbookViewId="0">
      <selection activeCell="B11" sqref="B11"/>
    </sheetView>
  </sheetViews>
  <sheetFormatPr defaultRowHeight="15" x14ac:dyDescent="0.25"/>
  <cols>
    <col min="1" max="1" width="13.140625" bestFit="1" customWidth="1"/>
    <col min="2" max="2" width="14.85546875" bestFit="1" customWidth="1"/>
  </cols>
  <sheetData>
    <row r="3" spans="1:2" x14ac:dyDescent="0.25">
      <c r="A3" s="6" t="s">
        <v>129</v>
      </c>
      <c r="B3" t="s">
        <v>137</v>
      </c>
    </row>
    <row r="4" spans="1:2" x14ac:dyDescent="0.25">
      <c r="A4" s="7" t="s">
        <v>131</v>
      </c>
      <c r="B4" s="9">
        <v>1440914</v>
      </c>
    </row>
    <row r="5" spans="1:2" x14ac:dyDescent="0.25">
      <c r="A5" s="7" t="s">
        <v>136</v>
      </c>
      <c r="B5" s="9">
        <v>1012240</v>
      </c>
    </row>
    <row r="6" spans="1:2" x14ac:dyDescent="0.25">
      <c r="A6" s="7" t="s">
        <v>130</v>
      </c>
      <c r="B6" s="9">
        <v>2453154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DA0C-277A-4B65-9533-DAE288B6F0B2}">
  <sheetPr codeName="Sheet7"/>
  <dimension ref="A2:G20"/>
  <sheetViews>
    <sheetView showGridLines="0" tabSelected="1" zoomScale="80" zoomScaleNormal="80" workbookViewId="0">
      <selection activeCell="G28" sqref="G28"/>
    </sheetView>
  </sheetViews>
  <sheetFormatPr defaultRowHeight="15" x14ac:dyDescent="0.25"/>
  <cols>
    <col min="1" max="1" width="14.42578125" bestFit="1" customWidth="1"/>
    <col min="4" max="4" width="14.140625" bestFit="1" customWidth="1"/>
    <col min="5" max="5" width="16.28515625" bestFit="1" customWidth="1"/>
    <col min="6" max="6" width="19.5703125" bestFit="1" customWidth="1"/>
    <col min="7" max="7" width="15.140625" bestFit="1" customWidth="1"/>
  </cols>
  <sheetData>
    <row r="2" spans="1:7" x14ac:dyDescent="0.25">
      <c r="A2" t="s">
        <v>147</v>
      </c>
    </row>
    <row r="3" spans="1:7" x14ac:dyDescent="0.25">
      <c r="A3" t="s">
        <v>148</v>
      </c>
    </row>
    <row r="13" spans="1:7" x14ac:dyDescent="0.25">
      <c r="D13" s="12" t="s">
        <v>146</v>
      </c>
      <c r="E13" s="12"/>
      <c r="F13" s="12"/>
      <c r="G13" s="12"/>
    </row>
    <row r="14" spans="1:7" x14ac:dyDescent="0.25">
      <c r="D14" s="6" t="s">
        <v>129</v>
      </c>
      <c r="E14" s="6" t="s">
        <v>145</v>
      </c>
      <c r="F14" s="6" t="s">
        <v>144</v>
      </c>
      <c r="G14" s="6" t="s">
        <v>137</v>
      </c>
    </row>
    <row r="15" spans="1:7" x14ac:dyDescent="0.25">
      <c r="D15" s="7" t="s">
        <v>7</v>
      </c>
      <c r="E15" s="9">
        <v>34699</v>
      </c>
      <c r="F15" s="10">
        <v>262</v>
      </c>
      <c r="G15" s="11">
        <v>351202</v>
      </c>
    </row>
    <row r="16" spans="1:7" x14ac:dyDescent="0.25">
      <c r="D16" s="7" t="s">
        <v>29</v>
      </c>
      <c r="E16" s="9">
        <v>30904</v>
      </c>
      <c r="F16" s="10">
        <v>273</v>
      </c>
      <c r="G16" s="11">
        <v>419557</v>
      </c>
    </row>
    <row r="17" spans="4:7" x14ac:dyDescent="0.25">
      <c r="D17" s="7" t="s">
        <v>12</v>
      </c>
      <c r="E17" s="9">
        <v>28844</v>
      </c>
      <c r="F17" s="10">
        <v>148</v>
      </c>
      <c r="G17" s="11">
        <v>331937</v>
      </c>
    </row>
    <row r="18" spans="4:7" x14ac:dyDescent="0.25">
      <c r="D18" s="7" t="s">
        <v>17</v>
      </c>
      <c r="E18" s="9">
        <v>34834</v>
      </c>
      <c r="F18" s="10">
        <v>209</v>
      </c>
      <c r="G18" s="11">
        <v>454176</v>
      </c>
    </row>
    <row r="19" spans="4:7" x14ac:dyDescent="0.25">
      <c r="D19" s="7" t="s">
        <v>22</v>
      </c>
      <c r="E19" s="9">
        <v>34821</v>
      </c>
      <c r="F19" s="10">
        <v>239</v>
      </c>
      <c r="G19" s="11">
        <v>407950</v>
      </c>
    </row>
    <row r="20" spans="4:7" x14ac:dyDescent="0.25">
      <c r="D20" s="7" t="s">
        <v>3</v>
      </c>
      <c r="E20" s="9">
        <v>40948</v>
      </c>
      <c r="F20" s="10">
        <v>323</v>
      </c>
      <c r="G20" s="11">
        <v>488332</v>
      </c>
    </row>
  </sheetData>
  <mergeCells count="1">
    <mergeCell ref="D13:G13"/>
  </mergeCells>
  <conditionalFormatting pivot="1" sqref="E15:E20">
    <cfRule type="dataBar" priority="3">
      <dataBar>
        <cfvo type="min"/>
        <cfvo type="max"/>
        <color rgb="FFD6007B"/>
      </dataBar>
      <extLst>
        <ext xmlns:x14="http://schemas.microsoft.com/office/spreadsheetml/2009/9/main" uri="{B025F937-C7B1-47D3-B67F-A62EFF666E3E}">
          <x14:id>{FF1312E4-9AF4-4F7D-B912-547706462182}</x14:id>
        </ext>
      </extLst>
    </cfRule>
  </conditionalFormatting>
  <conditionalFormatting pivot="1" sqref="F15:F20">
    <cfRule type="dataBar" priority="2">
      <dataBar>
        <cfvo type="min"/>
        <cfvo type="max"/>
        <color rgb="FF63C384"/>
      </dataBar>
      <extLst>
        <ext xmlns:x14="http://schemas.microsoft.com/office/spreadsheetml/2009/9/main" uri="{B025F937-C7B1-47D3-B67F-A62EFF666E3E}">
          <x14:id>{1B087023-A3D7-445D-9711-7DDB7E0DB487}</x14:id>
        </ext>
      </extLst>
    </cfRule>
  </conditionalFormatting>
  <conditionalFormatting pivot="1" sqref="G15:G20">
    <cfRule type="dataBar" priority="1">
      <dataBar>
        <cfvo type="min"/>
        <cfvo type="max"/>
        <color rgb="FF638EC6"/>
      </dataBar>
      <extLst>
        <ext xmlns:x14="http://schemas.microsoft.com/office/spreadsheetml/2009/9/main" uri="{B025F937-C7B1-47D3-B67F-A62EFF666E3E}">
          <x14:id>{1F3DA8FF-444C-450F-B6D9-9121A00D1653}</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FF1312E4-9AF4-4F7D-B912-547706462182}">
            <x14:dataBar minLength="0" maxLength="100" gradient="0">
              <x14:cfvo type="autoMin"/>
              <x14:cfvo type="autoMax"/>
              <x14:negativeFillColor rgb="FFFF0000"/>
              <x14:axisColor rgb="FF000000"/>
            </x14:dataBar>
          </x14:cfRule>
          <xm:sqref>E15:E20</xm:sqref>
        </x14:conditionalFormatting>
        <x14:conditionalFormatting xmlns:xm="http://schemas.microsoft.com/office/excel/2006/main" pivot="1">
          <x14:cfRule type="dataBar" id="{1B087023-A3D7-445D-9711-7DDB7E0DB487}">
            <x14:dataBar minLength="0" maxLength="100" gradient="0">
              <x14:cfvo type="autoMin"/>
              <x14:cfvo type="autoMax"/>
              <x14:negativeFillColor rgb="FFFF0000"/>
              <x14:axisColor rgb="FF000000"/>
            </x14:dataBar>
          </x14:cfRule>
          <xm:sqref>F15:F20</xm:sqref>
        </x14:conditionalFormatting>
        <x14:conditionalFormatting xmlns:xm="http://schemas.microsoft.com/office/excel/2006/main" pivot="1">
          <x14:cfRule type="dataBar" id="{1F3DA8FF-444C-450F-B6D9-9121A00D1653}">
            <x14:dataBar minLength="0" maxLength="100" gradient="0">
              <x14:cfvo type="autoMin"/>
              <x14:cfvo type="autoMax"/>
              <x14:negativeFillColor rgb="FFFF0000"/>
              <x14:axisColor rgb="FF000000"/>
            </x14:dataBar>
          </x14:cfRule>
          <xm:sqref>G15:G20</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2025-09-25T05:04:10Z</dcterms:created>
  <dcterms:modified xsi:type="dcterms:W3CDTF">2025-10-11T04:53:43Z</dcterms:modified>
</cp:coreProperties>
</file>